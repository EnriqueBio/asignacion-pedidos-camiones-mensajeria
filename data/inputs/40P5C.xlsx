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francisco_parreno_uclm_es/Documents/Proyectos y TFG/TFG_Enrique_Alvarez/"/>
    </mc:Choice>
  </mc:AlternateContent>
  <xr:revisionPtr revIDLastSave="4069" documentId="13_ncr:1_{66F7E6E3-1C2C-4846-AC4F-DAC698EE4C9F}" xr6:coauthVersionLast="47" xr6:coauthVersionMax="47" xr10:uidLastSave="{B572289B-A9C4-440C-9FDF-25EB092DC282}"/>
  <bookViews>
    <workbookView xWindow="25695" yWindow="0" windowWidth="26010" windowHeight="21705" activeTab="3" xr2:uid="{00000000-000D-0000-FFFF-FFFF00000000}"/>
  </bookViews>
  <sheets>
    <sheet name="Pedidos" sheetId="1" r:id="rId1"/>
    <sheet name="Clientes" sheetId="4" r:id="rId2"/>
    <sheet name="Camiones" sheetId="2" r:id="rId3"/>
    <sheet name="Resultados" sheetId="5" r:id="rId4"/>
  </sheets>
  <definedNames>
    <definedName name="adr" localSheetId="0">Pedidos!$F$2:$F$41</definedName>
    <definedName name="adr.badindex" localSheetId="0" hidden="1">1</definedName>
    <definedName name="adr.rowindex" localSheetId="0" hidden="1">Pedidos!I</definedName>
    <definedName name="adr.rowindex.dirn" localSheetId="0" hidden="1">"row"</definedName>
    <definedName name="ADRmax" localSheetId="0">Camiones!$E$2:$E$6</definedName>
    <definedName name="ADRmax.badindex" localSheetId="0" hidden="1">1</definedName>
    <definedName name="ADRmax.rowindex" localSheetId="0" hidden="1">Pedidos!J</definedName>
    <definedName name="ADRmax.rowindex.dirn" localSheetId="0" hidden="1">"row"</definedName>
    <definedName name="alpha" localSheetId="0">Pedidos!$I$2</definedName>
    <definedName name="C." localSheetId="0">Clientes!$A$2:$A$11</definedName>
    <definedName name="C.dirn" localSheetId="0" hidden="1">"row"</definedName>
    <definedName name="cli" localSheetId="0">Pedidos!$B$2:$B$41</definedName>
    <definedName name="cli.badindex" localSheetId="0" hidden="1">1</definedName>
    <definedName name="cli.rowindex" localSheetId="0" hidden="1">Pedidos!I</definedName>
    <definedName name="cli.rowindex.dirn" localSheetId="0" hidden="1">"row"</definedName>
    <definedName name="dist_c" localSheetId="0">Clientes!$B$2:$B$11</definedName>
    <definedName name="dist_c.badindex" localSheetId="0" hidden="1">1</definedName>
    <definedName name="dist_c.rowindex" localSheetId="0" hidden="1">Clientes!$A$2:$A$11</definedName>
    <definedName name="dist_c.rowindex.dirn" localSheetId="0" hidden="1">"row"</definedName>
    <definedName name="F." localSheetId="0">Camiones!$F$2:$F$6</definedName>
    <definedName name="F.badindex" localSheetId="0" hidden="1">1</definedName>
    <definedName name="F.rowindex" localSheetId="0" hidden="1">Pedidos!J</definedName>
    <definedName name="F.rowindex.dirn" localSheetId="0" hidden="1">"row"</definedName>
    <definedName name="fecha" localSheetId="0">Pedidos!$E$2:$E$41</definedName>
    <definedName name="fecha.badindex" localSheetId="0" hidden="1">1</definedName>
    <definedName name="fecha.rowindex" localSheetId="0" hidden="1">Pedidos!I</definedName>
    <definedName name="fecha.rowindex.dirn" localSheetId="0" hidden="1">"row"</definedName>
    <definedName name="fecha_hoy" localSheetId="0">Pedidos!$K$2</definedName>
    <definedName name="I" localSheetId="0">Pedidos!$A$2:$A$41</definedName>
    <definedName name="I.dirn" localSheetId="0" hidden="1">"row"</definedName>
    <definedName name="J" localSheetId="0">Camiones!$A$2:$A$6</definedName>
    <definedName name="J.dirn" localSheetId="0" hidden="1">"row"</definedName>
    <definedName name="pes" localSheetId="0">Pedidos!$D$2:$D$41</definedName>
    <definedName name="pes.badindex" localSheetId="0" hidden="1">1</definedName>
    <definedName name="pes.rowindex" localSheetId="0" hidden="1">Pedidos!I</definedName>
    <definedName name="pes.rowindex.dirn" localSheetId="0" hidden="1">"row"</definedName>
    <definedName name="Pmax" localSheetId="0">Camiones!$D$2:$D$6</definedName>
    <definedName name="Pmax.badindex" localSheetId="0" hidden="1">1</definedName>
    <definedName name="Pmax.rowindex" localSheetId="0" hidden="1">Pedidos!J</definedName>
    <definedName name="Pmax.rowindex.dirn" localSheetId="0" hidden="1">"row"</definedName>
    <definedName name="s" localSheetId="0">Pedidos!$J$2</definedName>
    <definedName name="t" localSheetId="0">Pedidos!$G$2:$G$41</definedName>
    <definedName name="t.badindex" localSheetId="0" hidden="1">1</definedName>
    <definedName name="t.rowindex" localSheetId="0" hidden="1">Pedidos!I</definedName>
    <definedName name="t.rowindex.dirn" localSheetId="0" hidden="1">"row"</definedName>
    <definedName name="V" localSheetId="0">Camiones!$B$2:$B$6</definedName>
    <definedName name="V.badindex" localSheetId="0" hidden="1">1</definedName>
    <definedName name="V.rowindex" localSheetId="0" hidden="1">Pedidos!J</definedName>
    <definedName name="V.rowindex.dirn" localSheetId="0" hidden="1">"row"</definedName>
    <definedName name="vol" localSheetId="0">Pedidos!$C$2:$C$41</definedName>
    <definedName name="vol.badindex" localSheetId="0" hidden="1">1</definedName>
    <definedName name="vol.rowindex" localSheetId="0" hidden="1">Pedidos!I</definedName>
    <definedName name="vol.rowindex.dirn" localSheetId="0" hidden="1">"row"</definedName>
    <definedName name="W" localSheetId="0">Camiones!$C$2:$C$6</definedName>
    <definedName name="W.badindex" localSheetId="0" hidden="1">1</definedName>
    <definedName name="W.rowindex" localSheetId="0" hidden="1">Pedidos!J</definedName>
    <definedName name="W.rowindex.dirn" localSheetId="0" hidden="1">"row"</definedName>
    <definedName name="x" localSheetId="0">Resultados!$C$2:$G$41</definedName>
    <definedName name="x.badindex" localSheetId="0" hidden="1">1</definedName>
    <definedName name="x.columnindex" localSheetId="0" hidden="1">Pedidos!J</definedName>
    <definedName name="x.columnindex.dirn" localSheetId="0" hidden="1">"row"</definedName>
    <definedName name="x.firstindex" localSheetId="0" hidden="1">"row"</definedName>
    <definedName name="x.rowindex" localSheetId="0" hidden="1">Pedidos!I</definedName>
    <definedName name="x.rowindex.dirn" localSheetId="0" hidden="1">"row"</definedName>
    <definedName name="y" localSheetId="0">Resultados!$H$2:$H$41</definedName>
    <definedName name="y.badindex" localSheetId="0" hidden="1">1</definedName>
    <definedName name="y.rowindex" localSheetId="0" hidden="1">Resultados!$A$2:$A$41</definedName>
    <definedName name="y.rowindex.dirn" localSheetId="0" hidden="1">"row"</definedName>
    <definedName name="z" localSheetId="0">Resultados!$C$43:$G$43</definedName>
    <definedName name="z.badindex" localSheetId="0" hidden="1">1</definedName>
    <definedName name="z.columnindex" localSheetId="0" hidden="1">Pedidos!J</definedName>
    <definedName name="z.columnindex.dirn" localSheetId="0" hidden="1">"row"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<sst xmlns="http://schemas.openxmlformats.org/spreadsheetml/2006/main" count="129" uniqueCount="89">
  <si>
    <t>coste_mensajeria</t>
  </si>
  <si>
    <t>C1</t>
  </si>
  <si>
    <t>C2</t>
  </si>
  <si>
    <t>P1</t>
  </si>
  <si>
    <t>P2</t>
  </si>
  <si>
    <t>P3</t>
  </si>
  <si>
    <t>α</t>
  </si>
  <si>
    <t>Cliente</t>
  </si>
  <si>
    <t>Volumen</t>
  </si>
  <si>
    <t>Fecha</t>
  </si>
  <si>
    <t>T1</t>
  </si>
  <si>
    <t>T2</t>
  </si>
  <si>
    <t>Peso</t>
  </si>
  <si>
    <t>s</t>
  </si>
  <si>
    <t>Fecha_hoy</t>
  </si>
  <si>
    <t>Camión T1</t>
  </si>
  <si>
    <t>Camión T2</t>
  </si>
  <si>
    <t>Mensajería</t>
  </si>
  <si>
    <t>C3</t>
  </si>
  <si>
    <t>P4</t>
  </si>
  <si>
    <t>P5</t>
  </si>
  <si>
    <t>P6</t>
  </si>
  <si>
    <t>Camión (J)</t>
  </si>
  <si>
    <t>Volumen (Vj​)</t>
  </si>
  <si>
    <t>Peso (Wj​)</t>
  </si>
  <si>
    <t>Paradas Max (Pmax​)</t>
  </si>
  <si>
    <t>ADR Max (LADR​)</t>
  </si>
  <si>
    <t>Coste Fijo (Fj​)</t>
  </si>
  <si>
    <t>Cliente (C)</t>
  </si>
  <si>
    <t>Distancia (km)</t>
  </si>
  <si>
    <t>C4</t>
  </si>
  <si>
    <t>ID</t>
  </si>
  <si>
    <t>ADR (0/1)</t>
  </si>
  <si>
    <t>T3</t>
  </si>
  <si>
    <t>T4</t>
  </si>
  <si>
    <t>T5</t>
  </si>
  <si>
    <t>ROL</t>
  </si>
  <si>
    <t>pequeño</t>
  </si>
  <si>
    <t>mediano</t>
  </si>
  <si>
    <t>mediano adr</t>
  </si>
  <si>
    <t>grande</t>
  </si>
  <si>
    <t>pequeño y económico</t>
  </si>
  <si>
    <t>C5</t>
  </si>
  <si>
    <t>C6</t>
  </si>
  <si>
    <t>C7</t>
  </si>
  <si>
    <t>C8</t>
  </si>
  <si>
    <t>C9</t>
  </si>
  <si>
    <t>C10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</si>
  <si>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</si>
  <si>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</si>
  <si>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</si>
  <si>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</si>
  <si>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</si>
  <si>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</si>
  <si>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</si>
  <si>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</si>
  <si>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</si>
  <si>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</si>
  <si>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</si>
  <si>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</si>
  <si>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</si>
  <si>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</si>
  <si>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</si>
  <si>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</si>
  <si>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</si>
  <si>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</si>
  <si>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</si>
  <si>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</si>
  <si>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</si>
  <si>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</si>
  <si>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</si>
  <si>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</si>
  <si>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</si>
  <si>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</si>
  <si>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</si>
  <si>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</si>
  <si>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</si>
  <si>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</si>
  <si>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</si>
  <si>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</si>
  <si>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</si>
  <si>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</si>
  <si>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Camión T3</t>
  </si>
  <si>
    <t>Camión T4</t>
  </si>
  <si>
    <t>Camión T5</t>
  </si>
  <si>
    <t>Camión 3. Correcto porque es el único ADR</t>
  </si>
  <si>
    <t>Envía por mensajería xq es adr pero supera el límite. Bien</t>
  </si>
  <si>
    <t>Hasta aquí son todos de hoy.</t>
  </si>
  <si>
    <t>Lo obligo a ir por mensajería, porque el volumen de los camiones no es suficiente para la 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</si>
</sst>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workbookViewId="0">
      <selection activeCell="K23" sqref="K23"/>
    </sheetView>
  </sheetViews>
  <sheetFormatPr baseColWidth="10" defaultColWidth="9.140625" defaultRowHeight="15" x14ac:dyDescent="0.25"/>
  <cols>
    <col min="1" max="2" width="13.42578125" customWidth="1"/>
    <col min="5" max="5" width="17.42578125" customWidth="1"/>
    <col min="7" max="7" width="16.85546875" customWidth="1"/>
    <col min="11" max="11" width="11.85546875" customWidth="1"/>
  </cols>
  <sheetData>
    <row r="1" spans="1:11" x14ac:dyDescent="0.25">
      <c r="A1" t="s">
        <v>31</v>
      </c>
      <c r="B1" t="s">
        <v>7</v>
      </c>
      <c r="C1" t="s">
        <v>8</v>
      </c>
      <c r="D1" t="s">
        <v>12</v>
      </c>
      <c r="E1" t="s">
        <v>9</v>
      </c>
      <c r="F1" t="s">
        <v>32</v>
      </c>
      <c r="G1" t="s">
        <v>0</v>
      </c>
      <c r="I1" s="1" t="s">
        <v>6</v>
      </c>
      <c r="J1" t="s">
        <v>13</v>
      </c>
      <c r="K1" t="s">
        <v>14</v>
      </c>
    </row>
    <row r="2" spans="1:11" x14ac:dyDescent="0.25">
      <c r="A2" t="s">
        <v>3</v>
      </c>
      <c r="B2" t="s">
        <v>1</v>
      </c>
      <c r="C2">
        <v>4</v>
      </c>
      <c r="D2">
        <v>200</v>
      </c>
      <c r="E2" s="3">
        <v>45984</v>
      </c>
      <c r="F2">
        <v>0</v>
      </c>
      <c r="G2">
        <v>350</v>
      </c>
      <c r="I2" s="2">
        <v>0.5</v>
      </c>
      <c r="J2" s="2">
        <v>50</v>
      </c>
      <c r="K2" s="3">
        <v>45984</v>
      </c>
    </row>
    <row r="3" spans="1:11" x14ac:dyDescent="0.25">
      <c r="A3" t="s">
        <v>4</v>
      </c>
      <c r="B3" t="s">
        <v>2</v>
      </c>
      <c r="C3">
        <v>4</v>
      </c>
      <c r="D3">
        <v>200</v>
      </c>
      <c r="E3" s="3">
        <v>45984</v>
      </c>
      <c r="F3">
        <v>0</v>
      </c>
      <c r="G3">
        <v>350</v>
      </c>
    </row>
    <row r="4" spans="1:11" x14ac:dyDescent="0.25">
      <c r="A4" t="s">
        <v>5</v>
      </c>
      <c r="B4" t="s">
        <v>18</v>
      </c>
      <c r="C4">
        <v>4</v>
      </c>
      <c r="D4">
        <v>200</v>
      </c>
      <c r="E4" s="3">
        <v>45984</v>
      </c>
      <c r="F4">
        <v>0</v>
      </c>
      <c r="G4">
        <v>350</v>
      </c>
    </row>
    <row r="5" spans="1:11" x14ac:dyDescent="0.25">
      <c r="A5" t="s">
        <v>19</v>
      </c>
      <c r="B5" t="s">
        <v>30</v>
      </c>
      <c r="C5">
        <v>4</v>
      </c>
      <c r="D5">
        <v>200</v>
      </c>
      <c r="E5" s="3">
        <v>45984</v>
      </c>
      <c r="F5">
        <v>0</v>
      </c>
      <c r="G5">
        <v>350</v>
      </c>
    </row>
    <row r="6" spans="1:11" x14ac:dyDescent="0.25">
      <c r="A6" t="s">
        <v>20</v>
      </c>
      <c r="B6" t="s">
        <v>42</v>
      </c>
      <c r="C6">
        <v>3</v>
      </c>
      <c r="D6">
        <v>200</v>
      </c>
      <c r="E6" s="3">
        <v>45984</v>
      </c>
      <c r="F6">
        <v>0</v>
      </c>
      <c r="G6">
        <v>350</v>
      </c>
    </row>
    <row r="7" spans="1:11" x14ac:dyDescent="0.25">
      <c r="A7" t="s">
        <v>21</v>
      </c>
      <c r="B7" t="s">
        <v>43</v>
      </c>
      <c r="C7">
        <v>3</v>
      </c>
      <c r="D7">
        <v>200</v>
      </c>
      <c r="E7" s="3">
        <v>45984</v>
      </c>
      <c r="F7">
        <v>0</v>
      </c>
      <c r="G7">
        <v>350</v>
      </c>
    </row>
    <row r="8" spans="1:11" x14ac:dyDescent="0.25">
      <c r="A8" t="s">
        <v>48</v>
      </c>
      <c r="B8" t="s">
        <v>44</v>
      </c>
      <c r="C8">
        <v>3</v>
      </c>
      <c r="D8">
        <v>200</v>
      </c>
      <c r="E8" s="3">
        <v>45984</v>
      </c>
      <c r="F8">
        <v>0</v>
      </c>
      <c r="G8">
        <v>350</v>
      </c>
    </row>
    <row r="9" spans="1:11" x14ac:dyDescent="0.25">
      <c r="A9" t="s">
        <v>49</v>
      </c>
      <c r="B9" t="s">
        <v>45</v>
      </c>
      <c r="C9">
        <v>2</v>
      </c>
      <c r="D9">
        <v>200</v>
      </c>
      <c r="E9" s="3">
        <v>45984</v>
      </c>
      <c r="F9">
        <v>0</v>
      </c>
      <c r="G9">
        <v>350</v>
      </c>
    </row>
    <row r="10" spans="1:11" x14ac:dyDescent="0.25">
      <c r="A10" t="s">
        <v>50</v>
      </c>
      <c r="B10" t="s">
        <v>46</v>
      </c>
      <c r="C10">
        <v>4</v>
      </c>
      <c r="D10">
        <v>400</v>
      </c>
      <c r="E10" s="3">
        <v>45984</v>
      </c>
      <c r="F10">
        <v>1</v>
      </c>
      <c r="G10">
        <v>350</v>
      </c>
    </row>
    <row r="11" spans="1:11" x14ac:dyDescent="0.25">
      <c r="A11" t="s">
        <v>51</v>
      </c>
      <c r="B11" t="s">
        <v>47</v>
      </c>
      <c r="C11">
        <v>4</v>
      </c>
      <c r="D11">
        <v>400</v>
      </c>
      <c r="E11" s="3">
        <v>45984</v>
      </c>
      <c r="F11">
        <v>1</v>
      </c>
      <c r="G11">
        <v>350</v>
      </c>
    </row>
    <row r="12" spans="1:11" x14ac:dyDescent="0.25">
      <c r="A12" t="s">
        <v>52</v>
      </c>
      <c r="B12" t="s">
        <v>1</v>
      </c>
      <c r="C12">
        <v>2</v>
      </c>
      <c r="D12">
        <v>150</v>
      </c>
      <c r="E12" s="3">
        <v>45984</v>
      </c>
      <c r="F12">
        <v>0</v>
      </c>
      <c r="G12">
        <v>350</v>
      </c>
    </row>
    <row r="13" spans="1:11" x14ac:dyDescent="0.25">
      <c r="A13" t="s">
        <v>53</v>
      </c>
      <c r="B13" t="s">
        <v>2</v>
      </c>
      <c r="C13">
        <v>2</v>
      </c>
      <c r="D13">
        <v>150</v>
      </c>
      <c r="E13" s="3">
        <v>45984</v>
      </c>
      <c r="F13">
        <v>0</v>
      </c>
      <c r="G13">
        <v>350</v>
      </c>
    </row>
    <row r="14" spans="1:11" x14ac:dyDescent="0.25">
      <c r="A14" t="s">
        <v>54</v>
      </c>
      <c r="B14" t="s">
        <v>18</v>
      </c>
      <c r="C14">
        <v>2</v>
      </c>
      <c r="D14">
        <v>150</v>
      </c>
      <c r="E14" s="3">
        <v>45984</v>
      </c>
      <c r="F14">
        <v>0</v>
      </c>
      <c r="G14">
        <v>350</v>
      </c>
    </row>
    <row r="15" spans="1:11" x14ac:dyDescent="0.25">
      <c r="A15" t="s">
        <v>55</v>
      </c>
      <c r="B15" t="s">
        <v>30</v>
      </c>
      <c r="C15">
        <v>2</v>
      </c>
      <c r="D15">
        <v>150</v>
      </c>
      <c r="E15" s="3">
        <v>45984</v>
      </c>
      <c r="F15">
        <v>0</v>
      </c>
      <c r="G15">
        <v>350</v>
      </c>
    </row>
    <row r="16" spans="1:11" x14ac:dyDescent="0.25">
      <c r="A16" t="s">
        <v>56</v>
      </c>
      <c r="B16" t="s">
        <v>42</v>
      </c>
      <c r="C16">
        <v>2</v>
      </c>
      <c r="D16">
        <v>150</v>
      </c>
      <c r="E16" s="3">
        <v>45984</v>
      </c>
      <c r="F16">
        <v>0</v>
      </c>
      <c r="G16">
        <v>350</v>
      </c>
    </row>
    <row r="17" spans="1:7" x14ac:dyDescent="0.25">
      <c r="A17" t="s">
        <v>57</v>
      </c>
      <c r="B17" t="s">
        <v>43</v>
      </c>
      <c r="C17">
        <v>2</v>
      </c>
      <c r="D17">
        <v>150</v>
      </c>
      <c r="E17" s="3">
        <v>45984</v>
      </c>
      <c r="F17">
        <v>0</v>
      </c>
      <c r="G17">
        <v>350</v>
      </c>
    </row>
    <row r="18" spans="1:7" x14ac:dyDescent="0.25">
      <c r="A18" t="s">
        <v>58</v>
      </c>
      <c r="B18" t="s">
        <v>44</v>
      </c>
      <c r="C18">
        <v>2</v>
      </c>
      <c r="D18">
        <v>150</v>
      </c>
      <c r="E18" s="3">
        <v>45984</v>
      </c>
      <c r="F18">
        <v>0</v>
      </c>
      <c r="G18">
        <v>350</v>
      </c>
    </row>
    <row r="19" spans="1:7" x14ac:dyDescent="0.25">
      <c r="A19" t="s">
        <v>59</v>
      </c>
      <c r="B19" t="s">
        <v>45</v>
      </c>
      <c r="C19">
        <v>2</v>
      </c>
      <c r="D19">
        <v>150</v>
      </c>
      <c r="E19" s="3">
        <v>45984</v>
      </c>
      <c r="F19">
        <v>0</v>
      </c>
      <c r="G19">
        <v>350</v>
      </c>
    </row>
    <row r="20" spans="1:7" x14ac:dyDescent="0.25">
      <c r="A20" t="s">
        <v>60</v>
      </c>
      <c r="B20" t="s">
        <v>46</v>
      </c>
      <c r="C20">
        <v>2</v>
      </c>
      <c r="D20">
        <v>150</v>
      </c>
      <c r="E20" s="3">
        <v>45984</v>
      </c>
      <c r="F20">
        <v>0</v>
      </c>
      <c r="G20">
        <v>350</v>
      </c>
    </row>
    <row r="21" spans="1:7" x14ac:dyDescent="0.25">
      <c r="A21" t="s">
        <v>61</v>
      </c>
      <c r="B21" t="s">
        <v>47</v>
      </c>
      <c r="C21">
        <v>2</v>
      </c>
      <c r="D21">
        <v>150</v>
      </c>
      <c r="E21" s="3">
        <v>45984</v>
      </c>
      <c r="F21">
        <v>0</v>
      </c>
      <c r="G21">
        <v>350</v>
      </c>
    </row>
    <row r="22" spans="1:7" x14ac:dyDescent="0.25">
      <c r="A22" t="s">
        <v>62</v>
      </c>
      <c r="B22" t="s">
        <v>1</v>
      </c>
      <c r="C22">
        <v>3</v>
      </c>
      <c r="D22">
        <v>300</v>
      </c>
      <c r="E22" s="3">
        <v>45985</v>
      </c>
      <c r="F22">
        <v>0</v>
      </c>
      <c r="G22">
        <v>350</v>
      </c>
    </row>
    <row r="23" spans="1:7" x14ac:dyDescent="0.25">
      <c r="A23" t="s">
        <v>63</v>
      </c>
      <c r="B23" t="s">
        <v>2</v>
      </c>
      <c r="C23">
        <v>3</v>
      </c>
      <c r="D23">
        <v>300</v>
      </c>
      <c r="E23" s="3">
        <v>45985</v>
      </c>
      <c r="F23">
        <v>0</v>
      </c>
      <c r="G23">
        <v>350</v>
      </c>
    </row>
    <row r="24" spans="1:7" x14ac:dyDescent="0.25">
      <c r="A24" t="s">
        <v>64</v>
      </c>
      <c r="B24" t="s">
        <v>18</v>
      </c>
      <c r="C24">
        <v>3</v>
      </c>
      <c r="D24">
        <v>300</v>
      </c>
      <c r="E24" s="3">
        <v>45985</v>
      </c>
      <c r="F24">
        <v>0</v>
      </c>
      <c r="G24">
        <v>350</v>
      </c>
    </row>
    <row r="25" spans="1:7" x14ac:dyDescent="0.25">
      <c r="A25" t="s">
        <v>65</v>
      </c>
      <c r="B25" t="s">
        <v>30</v>
      </c>
      <c r="C25">
        <v>3</v>
      </c>
      <c r="D25">
        <v>300</v>
      </c>
      <c r="E25" s="3">
        <v>45985</v>
      </c>
      <c r="F25">
        <v>0</v>
      </c>
      <c r="G25">
        <v>350</v>
      </c>
    </row>
    <row r="26" spans="1:7" x14ac:dyDescent="0.25">
      <c r="A26" t="s">
        <v>66</v>
      </c>
      <c r="B26" t="s">
        <v>42</v>
      </c>
      <c r="C26">
        <v>3</v>
      </c>
      <c r="D26">
        <v>300</v>
      </c>
      <c r="E26" s="3">
        <v>45985</v>
      </c>
      <c r="F26">
        <v>0</v>
      </c>
      <c r="G26">
        <v>350</v>
      </c>
    </row>
    <row r="27" spans="1:7" x14ac:dyDescent="0.25">
      <c r="A27" t="s">
        <v>67</v>
      </c>
      <c r="B27" t="s">
        <v>43</v>
      </c>
      <c r="C27">
        <v>3</v>
      </c>
      <c r="D27">
        <v>300</v>
      </c>
      <c r="E27" s="3">
        <v>45985</v>
      </c>
      <c r="F27">
        <v>0</v>
      </c>
      <c r="G27">
        <v>350</v>
      </c>
    </row>
    <row r="28" spans="1:7" x14ac:dyDescent="0.25">
      <c r="A28" t="s">
        <v>68</v>
      </c>
      <c r="B28" t="s">
        <v>44</v>
      </c>
      <c r="C28">
        <v>3</v>
      </c>
      <c r="D28">
        <v>300</v>
      </c>
      <c r="E28" s="3">
        <v>45985</v>
      </c>
      <c r="F28">
        <v>0</v>
      </c>
      <c r="G28">
        <v>350</v>
      </c>
    </row>
    <row r="29" spans="1:7" x14ac:dyDescent="0.25">
      <c r="A29" t="s">
        <v>69</v>
      </c>
      <c r="B29" t="s">
        <v>45</v>
      </c>
      <c r="C29">
        <v>3</v>
      </c>
      <c r="D29">
        <v>300</v>
      </c>
      <c r="E29" s="3">
        <v>45985</v>
      </c>
      <c r="F29">
        <v>0</v>
      </c>
      <c r="G29">
        <v>350</v>
      </c>
    </row>
    <row r="30" spans="1:7" x14ac:dyDescent="0.25">
      <c r="A30" t="s">
        <v>70</v>
      </c>
      <c r="B30" t="s">
        <v>46</v>
      </c>
      <c r="C30">
        <v>3</v>
      </c>
      <c r="D30">
        <v>300</v>
      </c>
      <c r="E30" s="3">
        <v>45985</v>
      </c>
      <c r="F30">
        <v>0</v>
      </c>
      <c r="G30">
        <v>350</v>
      </c>
    </row>
    <row r="31" spans="1:7" x14ac:dyDescent="0.25">
      <c r="A31" t="s">
        <v>71</v>
      </c>
      <c r="B31" t="s">
        <v>47</v>
      </c>
      <c r="C31">
        <v>3</v>
      </c>
      <c r="D31">
        <v>300</v>
      </c>
      <c r="E31" s="3">
        <v>45985</v>
      </c>
      <c r="F31">
        <v>0</v>
      </c>
      <c r="G31">
        <v>350</v>
      </c>
    </row>
    <row r="32" spans="1:7" x14ac:dyDescent="0.25">
      <c r="A32" t="s">
        <v>72</v>
      </c>
      <c r="B32" t="s">
        <v>1</v>
      </c>
      <c r="C32">
        <v>1</v>
      </c>
      <c r="D32">
        <v>100</v>
      </c>
      <c r="E32" s="3">
        <v>45988</v>
      </c>
      <c r="F32">
        <v>0</v>
      </c>
      <c r="G32">
        <v>350</v>
      </c>
    </row>
    <row r="33" spans="1:7" x14ac:dyDescent="0.25">
      <c r="A33" t="s">
        <v>73</v>
      </c>
      <c r="B33" t="s">
        <v>2</v>
      </c>
      <c r="C33">
        <v>1</v>
      </c>
      <c r="D33">
        <v>100</v>
      </c>
      <c r="E33" s="3">
        <v>45988</v>
      </c>
      <c r="F33">
        <v>0</v>
      </c>
      <c r="G33">
        <v>350</v>
      </c>
    </row>
    <row r="34" spans="1:7" x14ac:dyDescent="0.25">
      <c r="A34" t="s">
        <v>74</v>
      </c>
      <c r="B34" t="s">
        <v>18</v>
      </c>
      <c r="C34">
        <v>1</v>
      </c>
      <c r="D34">
        <v>100</v>
      </c>
      <c r="E34" s="3">
        <v>45988</v>
      </c>
      <c r="F34">
        <v>0</v>
      </c>
      <c r="G34">
        <v>350</v>
      </c>
    </row>
    <row r="35" spans="1:7" x14ac:dyDescent="0.25">
      <c r="A35" t="s">
        <v>75</v>
      </c>
      <c r="B35" t="s">
        <v>30</v>
      </c>
      <c r="C35">
        <v>1</v>
      </c>
      <c r="D35">
        <v>100</v>
      </c>
      <c r="E35" s="3">
        <v>45988</v>
      </c>
      <c r="F35">
        <v>0</v>
      </c>
      <c r="G35">
        <v>350</v>
      </c>
    </row>
    <row r="36" spans="1:7" x14ac:dyDescent="0.25">
      <c r="A36" t="s">
        <v>76</v>
      </c>
      <c r="B36" t="s">
        <v>42</v>
      </c>
      <c r="C36">
        <v>1</v>
      </c>
      <c r="D36">
        <v>100</v>
      </c>
      <c r="E36" s="3">
        <v>45988</v>
      </c>
      <c r="F36">
        <v>0</v>
      </c>
      <c r="G36">
        <v>350</v>
      </c>
    </row>
    <row r="37" spans="1:7" x14ac:dyDescent="0.25">
      <c r="A37" t="s">
        <v>77</v>
      </c>
      <c r="B37" t="s">
        <v>43</v>
      </c>
      <c r="C37">
        <v>1</v>
      </c>
      <c r="D37">
        <v>100</v>
      </c>
      <c r="E37" s="3">
        <v>45988</v>
      </c>
      <c r="F37">
        <v>0</v>
      </c>
      <c r="G37">
        <v>350</v>
      </c>
    </row>
    <row r="38" spans="1:7" x14ac:dyDescent="0.25">
      <c r="A38" t="s">
        <v>78</v>
      </c>
      <c r="B38" t="s">
        <v>44</v>
      </c>
      <c r="C38">
        <v>1</v>
      </c>
      <c r="D38">
        <v>100</v>
      </c>
      <c r="E38" s="3">
        <v>45988</v>
      </c>
      <c r="F38">
        <v>0</v>
      </c>
      <c r="G38">
        <v>350</v>
      </c>
    </row>
    <row r="39" spans="1:7" x14ac:dyDescent="0.25">
      <c r="A39" t="s">
        <v>79</v>
      </c>
      <c r="B39" t="s">
        <v>45</v>
      </c>
      <c r="C39">
        <v>1</v>
      </c>
      <c r="D39">
        <v>100</v>
      </c>
      <c r="E39" s="3">
        <v>45988</v>
      </c>
      <c r="F39">
        <v>0</v>
      </c>
      <c r="G39">
        <v>350</v>
      </c>
    </row>
    <row r="40" spans="1:7" x14ac:dyDescent="0.25">
      <c r="A40" t="s">
        <v>80</v>
      </c>
      <c r="B40" t="s">
        <v>46</v>
      </c>
      <c r="C40">
        <v>1</v>
      </c>
      <c r="D40">
        <v>100</v>
      </c>
      <c r="E40" s="3">
        <v>45988</v>
      </c>
      <c r="F40">
        <v>0</v>
      </c>
      <c r="G40">
        <v>350</v>
      </c>
    </row>
    <row r="41" spans="1:7" x14ac:dyDescent="0.25">
      <c r="A41" t="s">
        <v>81</v>
      </c>
      <c r="B41" t="s">
        <v>47</v>
      </c>
      <c r="C41">
        <v>1</v>
      </c>
      <c r="D41">
        <v>100</v>
      </c>
      <c r="E41" s="3">
        <v>45988</v>
      </c>
      <c r="F41">
        <v>0</v>
      </c>
      <c r="G41">
        <v>350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4518-591E-4B7D-BC39-F64EF45239F3}">
  <dimension ref="A1:B11"/>
  <sheetViews>
    <sheetView workbookViewId="0">
      <selection activeCell="B12" sqref="B12"/>
    </sheetView>
  </sheetViews>
  <sheetFormatPr baseColWidth="10" defaultRowHeight="15" x14ac:dyDescent="0.25"/>
  <cols>
    <col min="1" max="1" width="11.85546875" customWidth="1"/>
    <col min="2" max="2" width="13.42578125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1</v>
      </c>
      <c r="B2" s="2">
        <v>20</v>
      </c>
    </row>
    <row r="3" spans="1:2" x14ac:dyDescent="0.25">
      <c r="A3" t="s">
        <v>2</v>
      </c>
      <c r="B3" s="2">
        <v>10</v>
      </c>
    </row>
    <row r="4" spans="1:2" x14ac:dyDescent="0.25">
      <c r="A4" t="s">
        <v>18</v>
      </c>
      <c r="B4" s="2">
        <v>5</v>
      </c>
    </row>
    <row r="5" spans="1:2" x14ac:dyDescent="0.25">
      <c r="A5" t="s">
        <v>30</v>
      </c>
      <c r="B5" s="2">
        <v>30</v>
      </c>
    </row>
    <row r="6" spans="1:2" x14ac:dyDescent="0.25">
      <c r="A6" t="s">
        <v>42</v>
      </c>
      <c r="B6" s="2">
        <v>40</v>
      </c>
    </row>
    <row r="7" spans="1:2" x14ac:dyDescent="0.25">
      <c r="A7" t="s">
        <v>43</v>
      </c>
      <c r="B7" s="2">
        <v>15</v>
      </c>
    </row>
    <row r="8" spans="1:2" x14ac:dyDescent="0.25">
      <c r="A8" t="s">
        <v>44</v>
      </c>
      <c r="B8" s="2">
        <v>50</v>
      </c>
    </row>
    <row r="9" spans="1:2" x14ac:dyDescent="0.25">
      <c r="A9" t="s">
        <v>45</v>
      </c>
      <c r="B9" s="2">
        <v>70</v>
      </c>
    </row>
    <row r="10" spans="1:2" x14ac:dyDescent="0.25">
      <c r="A10" t="s">
        <v>46</v>
      </c>
      <c r="B10" s="2">
        <v>25</v>
      </c>
    </row>
    <row r="11" spans="1:2" x14ac:dyDescent="0.25">
      <c r="A11" t="s">
        <v>47</v>
      </c>
      <c r="B11" s="2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D4" sqref="D4"/>
    </sheetView>
  </sheetViews>
  <sheetFormatPr baseColWidth="10" defaultColWidth="9.140625" defaultRowHeight="15" x14ac:dyDescent="0.25"/>
  <cols>
    <col min="1" max="1" width="16.5703125" customWidth="1"/>
    <col min="2" max="2" width="15.42578125" customWidth="1"/>
    <col min="3" max="3" width="16.28515625" customWidth="1"/>
    <col min="4" max="4" width="19.42578125" customWidth="1"/>
    <col min="5" max="5" width="18.28515625" customWidth="1"/>
    <col min="6" max="6" width="15.42578125" customWidth="1"/>
    <col min="7" max="7" width="11.85546875" customWidth="1"/>
    <col min="8" max="8" width="14.85546875" customWidth="1"/>
  </cols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36</v>
      </c>
    </row>
    <row r="2" spans="1:7" x14ac:dyDescent="0.25">
      <c r="A2" t="s">
        <v>10</v>
      </c>
      <c r="B2">
        <v>12</v>
      </c>
      <c r="C2">
        <v>1500</v>
      </c>
      <c r="D2">
        <v>5</v>
      </c>
      <c r="E2">
        <v>0</v>
      </c>
      <c r="F2">
        <v>400</v>
      </c>
      <c r="G2" t="s">
        <v>37</v>
      </c>
    </row>
    <row r="3" spans="1:7" x14ac:dyDescent="0.25">
      <c r="A3" t="s">
        <v>11</v>
      </c>
      <c r="B3">
        <v>18</v>
      </c>
      <c r="C3">
        <v>2500</v>
      </c>
      <c r="D3">
        <v>8</v>
      </c>
      <c r="E3">
        <v>0</v>
      </c>
      <c r="F3">
        <v>550</v>
      </c>
      <c r="G3" t="s">
        <v>38</v>
      </c>
    </row>
    <row r="4" spans="1:7" x14ac:dyDescent="0.25">
      <c r="A4" t="s">
        <v>33</v>
      </c>
      <c r="B4">
        <v>15</v>
      </c>
      <c r="C4">
        <v>2000</v>
      </c>
      <c r="D4">
        <v>6</v>
      </c>
      <c r="E4">
        <v>5</v>
      </c>
      <c r="F4">
        <v>600</v>
      </c>
      <c r="G4" t="s">
        <v>39</v>
      </c>
    </row>
    <row r="5" spans="1:7" x14ac:dyDescent="0.25">
      <c r="A5" t="s">
        <v>34</v>
      </c>
      <c r="B5">
        <v>25</v>
      </c>
      <c r="C5">
        <v>3500</v>
      </c>
      <c r="D5">
        <v>0</v>
      </c>
      <c r="E5">
        <v>0</v>
      </c>
      <c r="F5">
        <v>700</v>
      </c>
      <c r="G5" t="s">
        <v>40</v>
      </c>
    </row>
    <row r="6" spans="1:7" x14ac:dyDescent="0.25">
      <c r="A6" t="s">
        <v>35</v>
      </c>
      <c r="B6">
        <v>10</v>
      </c>
      <c r="C6">
        <v>1000</v>
      </c>
      <c r="D6">
        <v>0</v>
      </c>
      <c r="E6">
        <v>0</v>
      </c>
      <c r="F6">
        <v>350</v>
      </c>
      <c r="G6" t="s">
        <v>41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520F-3090-4F96-A1CD-16D41825898F}">
  <dimension ref="A1:O48"/>
  <sheetViews>
    <sheetView tabSelected="1" workbookViewId="0">
      <selection activeCell="D12" sqref="D12"/>
    </sheetView>
  </sheetViews>
  <sheetFormatPr baseColWidth="10" defaultRowHeight="15" x14ac:dyDescent="0.25"/>
  <cols>
    <col min="1" max="1" width="11.85546875" bestFit="1" customWidth="1"/>
    <col min="15" max="15" width="40" customWidth="1"/>
  </cols>
  <sheetData>
    <row r="1" spans="1:9" x14ac:dyDescent="0.25">
      <c r="A1" t="str" cm="1">
        <f t="array" ref="A1:B41">Pedidos!A1:B41</f>
        <v>ID</v>
      </c>
      <c r="B1" t="str">
        <v>Cliente</v>
      </c>
      <c r="C1" t="s">
        <v>15</v>
      </c>
      <c r="D1" t="s">
        <v>16</v>
      </c>
      <c r="E1" t="s">
        <v>82</v>
      </c>
      <c r="F1" t="s">
        <v>83</v>
      </c>
      <c r="G1" t="s">
        <v>84</v>
      </c>
      <c r="H1" t="s">
        <v>17</v>
      </c>
    </row>
    <row r="2" spans="1:9" x14ac:dyDescent="0.25">
      <c r="A2" t="str">
        <v>P1</v>
      </c>
      <c r="B2" t="str">
        <v>C1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</row>
    <row r="3" spans="1:9" x14ac:dyDescent="0.25">
      <c r="A3" t="str">
        <v>P2</v>
      </c>
      <c r="B3" t="str">
        <v>C2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</row>
    <row r="4" spans="1:9" x14ac:dyDescent="0.25">
      <c r="A4" t="str">
        <v>P3</v>
      </c>
      <c r="B4" t="str">
        <v>C3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9" x14ac:dyDescent="0.25">
      <c r="A5" t="str">
        <v>P4</v>
      </c>
      <c r="B5" t="str">
        <v>C4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9" x14ac:dyDescent="0.25">
      <c r="A6" t="str">
        <v>P5</v>
      </c>
      <c r="B6" t="str">
        <v>C5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</row>
    <row r="7" spans="1:9" x14ac:dyDescent="0.25">
      <c r="A7" t="str">
        <v>P6</v>
      </c>
      <c r="B7" t="str">
        <v>C6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</row>
    <row r="8" spans="1:9" x14ac:dyDescent="0.25">
      <c r="A8" t="str">
        <v>P7</v>
      </c>
      <c r="B8" t="str">
        <v>C7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</row>
    <row r="9" spans="1:9" x14ac:dyDescent="0.25">
      <c r="A9" t="str">
        <v>P8</v>
      </c>
      <c r="B9" t="str">
        <v>C8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</row>
    <row r="10" spans="1:9" x14ac:dyDescent="0.25">
      <c r="A10" t="str">
        <v>P9</v>
      </c>
      <c r="B10" t="str">
        <v>C9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 t="s">
        <v>86</v>
      </c>
    </row>
    <row r="11" spans="1:9" x14ac:dyDescent="0.25">
      <c r="A11" t="str">
        <v>P10</v>
      </c>
      <c r="B11" t="str">
        <v>C10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 t="s">
        <v>85</v>
      </c>
    </row>
    <row r="12" spans="1:9" x14ac:dyDescent="0.25">
      <c r="A12" t="str">
        <v>P11</v>
      </c>
      <c r="B12" t="str">
        <v>C1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</row>
    <row r="13" spans="1:9" x14ac:dyDescent="0.25">
      <c r="A13" t="str">
        <v>P12</v>
      </c>
      <c r="B13" t="str">
        <v>C2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</row>
    <row r="14" spans="1:9" x14ac:dyDescent="0.25">
      <c r="A14" t="str">
        <v>P13</v>
      </c>
      <c r="B14" t="str">
        <v>C3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</row>
    <row r="15" spans="1:9" x14ac:dyDescent="0.25">
      <c r="A15" t="str">
        <v>P14</v>
      </c>
      <c r="B15" t="str">
        <v>C4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</row>
    <row r="16" spans="1:9" x14ac:dyDescent="0.25">
      <c r="A16" t="str">
        <v>P15</v>
      </c>
      <c r="B16" t="str">
        <v>C5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</row>
    <row r="17" spans="1:9" x14ac:dyDescent="0.25">
      <c r="A17" t="str">
        <v>P16</v>
      </c>
      <c r="B17" t="str">
        <v>C6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</row>
    <row r="18" spans="1:9" x14ac:dyDescent="0.25">
      <c r="A18" t="str">
        <v>P17</v>
      </c>
      <c r="B18" t="str">
        <v>C7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</row>
    <row r="19" spans="1:9" x14ac:dyDescent="0.25">
      <c r="A19" t="str">
        <v>P18</v>
      </c>
      <c r="B19" t="str">
        <v>C8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</row>
    <row r="20" spans="1:9" x14ac:dyDescent="0.25">
      <c r="A20" t="str">
        <v>P19</v>
      </c>
      <c r="B20" t="str">
        <v>C9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</row>
    <row r="21" spans="1:9" x14ac:dyDescent="0.25">
      <c r="A21" t="str">
        <v>P20</v>
      </c>
      <c r="B21" t="str">
        <v>C10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 t="s">
        <v>87</v>
      </c>
    </row>
    <row r="22" spans="1:9" x14ac:dyDescent="0.25">
      <c r="A22" t="str">
        <v>P21</v>
      </c>
      <c r="B22" t="str">
        <v>C1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9" x14ac:dyDescent="0.25">
      <c r="A23" t="str">
        <v>P22</v>
      </c>
      <c r="B23" t="str">
        <v>C2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9" x14ac:dyDescent="0.25">
      <c r="A24" t="str">
        <v>P23</v>
      </c>
      <c r="B24" t="str">
        <v>C3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9" x14ac:dyDescent="0.25">
      <c r="A25" t="str">
        <v>P24</v>
      </c>
      <c r="B25" t="str">
        <v>C4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9" x14ac:dyDescent="0.25">
      <c r="A26" t="str">
        <v>P25</v>
      </c>
      <c r="B26" t="str">
        <v>C5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9" x14ac:dyDescent="0.25">
      <c r="A27" t="str">
        <v>P26</v>
      </c>
      <c r="B27" t="str">
        <v>C6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9" x14ac:dyDescent="0.25">
      <c r="A28" t="str">
        <v>P27</v>
      </c>
      <c r="B28" t="str">
        <v>C7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9" x14ac:dyDescent="0.25">
      <c r="A29" t="str">
        <v>P28</v>
      </c>
      <c r="B29" t="str">
        <v>C8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9" x14ac:dyDescent="0.25">
      <c r="A30" t="str">
        <v>P29</v>
      </c>
      <c r="B30" t="str">
        <v>C9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9" x14ac:dyDescent="0.25">
      <c r="A31" t="str">
        <v>P30</v>
      </c>
      <c r="B31" t="str">
        <v>C10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9" x14ac:dyDescent="0.25">
      <c r="A32" t="str">
        <v>P31</v>
      </c>
      <c r="B32" t="str">
        <v>C1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15" x14ac:dyDescent="0.25">
      <c r="A33" t="str">
        <v>P32</v>
      </c>
      <c r="B33" t="str">
        <v>C2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15" x14ac:dyDescent="0.25">
      <c r="A34" t="str">
        <v>P33</v>
      </c>
      <c r="B34" t="str">
        <v>C3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15" x14ac:dyDescent="0.25">
      <c r="A35" t="str">
        <v>P34</v>
      </c>
      <c r="B35" t="str">
        <v>C4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15" x14ac:dyDescent="0.25">
      <c r="A36" t="str">
        <v>P35</v>
      </c>
      <c r="B36" t="str">
        <v>C5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15" x14ac:dyDescent="0.25">
      <c r="A37" t="str">
        <v>P36</v>
      </c>
      <c r="B37" t="str">
        <v>C6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15" x14ac:dyDescent="0.25">
      <c r="A38" t="str">
        <v>P37</v>
      </c>
      <c r="B38" t="str">
        <v>C7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15" x14ac:dyDescent="0.25">
      <c r="A39" t="str">
        <v>P38</v>
      </c>
      <c r="B39" t="str">
        <v>C8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15" x14ac:dyDescent="0.25">
      <c r="A40" t="str">
        <v>P39</v>
      </c>
      <c r="B40" t="str">
        <v>C9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15" x14ac:dyDescent="0.25">
      <c r="A41" t="str">
        <v>P40</v>
      </c>
      <c r="B41" t="str">
        <v>C10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</row>
    <row r="43" spans="1:15" x14ac:dyDescent="0.25">
      <c r="C43">
        <v>1</v>
      </c>
      <c r="D43">
        <v>1</v>
      </c>
      <c r="E43">
        <v>1</v>
      </c>
      <c r="F43">
        <v>0</v>
      </c>
      <c r="G43">
        <v>0</v>
      </c>
    </row>
    <row r="48" spans="1:15" ht="45" customHeight="1" x14ac:dyDescent="0.25">
      <c r="A48" s="4"/>
      <c r="O48" s="4" t="s">
        <v>88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oredFilesList xmlns:xsd="http://www.w3.org/2001/XMLSchema" xmlns:xsi="http://www.w3.org/2001/XMLSchema-instance" xmlns="http://opensolver.org" xml:space="preserve" Version="01.00">
  <StoredFiles>
    <StoredFile>
      <FileName>Untitled</FileName>
      <LanguageName>COOPR</LanguageName>
      <ModelPaneVisible>true</ModelPaneVisible>
      <ModelSettings>
        <item>
          <key>
            <string xmlns="">COOPRSolver</string>
          </key>
          <value>
            <anyType xmlns="" xsi:type="xsd:string">cbc</anyType>
          </value>
        </item>
      </ModelSettings>
      <FileText># ====================================================
#   MODELO DE ASIGNACIÓN DE PEDIDOS A CAMIONES
#   Pyomo + SolverStudio
# ====================================================
from pyomo.environ import *
# ----------------------------------------------------
# 1) DECLARAR MODELO ABSTRACTO
# ----------------------------------------------------
model = AbstractModel()
# ----------------------------------------------------
# 2) CONJUNTOS
# ----------------------------------------------------
model.I = Set()      # pedidos
model.J = Set()      # camiones
model.C = Set()      # clientes
# ----------------------------------------------------
# 3) PARÁMETROS
# ----------------------------------------------------
# --- parámetros de pedidos
model.vol   = Param(model.I)
model.pes   = Param(model.I)
model.fecha = Param(model.I, within=Reals)   # fecha del pedido (número o formato convertible)
model.adr   = Param(model.I)
model.t     = Param(model.I)   # coste mensajería
model.cli   = Param(model.I, within=model.C)   # cliente al que pertenece cada pedido
# --- parámetros de clientes
model.dist_c = Param(model.C, within=Reals)  # distancia del cliente
# --- parámetros de camiones
model.V     = Param(model.J)   # volumen
model.W     = Param(model.J)   # peso
model.ADRmax = Param(model.J)  # límite ADR
model.Pmax   = Param(model.J)  # paradas máximas
model.F      = Param(model.J, within=Reals)  # coste fijo
# --- parámetros globales
model.alpha = Param(within=Reals)          # factor €/km
model.s     = Param(within=Reals)          # coste almacenaje €/día
model.fecha_hoy = Param(within=Reals)      # fecha actual
# ----------------------------------------------------
# 4) PARÁMETROS DERIVADOS
# ----------------------------------------------------
# Distancia por pedido i (hereda del cliente)
def dist_i_rule(m, i):
    return m.dist_c[m.cli[i]]
model.dist = Param(model.I, initialize=dist_i_rule)
# Coste variable: u_i = alpha * dist
def u_rule(m, i):
    return m.alpha * m.dist[i]
model.u = Param(model.I, initialize=u_rule)
# Días adelantados: d_i = fecha_i - fecha_hoy
def d_rule(m, i):
    return m.fecha[i] - m.fecha_hoy
model.d = Param(model.I, initialize=d_rule)
# Fecha del envío más lejano
def dmax_rule(m):
    #return max(m.d[i] for i in m.I)
    return max(m.fecha[i] for i in m.I)
model.Dmax = Param(initialize=dmax_rule)
# C) Delta (Beneficio por Anticipación)
def delta_rule(m, i):
    if m.Dmax &gt; 0:
        # 1 - (Días restantes / Días totales del horizonte)
        #return 1.0 - (m.d[i] / m.Dmax)
        return (m.Dmax - m.d[i])/m.Dmax
        #return (m.Dmax - m.fecha[i])/(m.Dmax - m.fecha_hoy)
    else:
        # Si todos los pedidos son de hoy, el beneficio es max (1)
        return 1.0
model.delta = Param(model.I, initialize=delta_rule)
# ----------------------------------------------------
# 5) VARIABLES
# ----------------------------------------------------
model.x = Var(model.I, model.J, domain=Binary)   # pedido i va en camión j
model.y = Var(model.I, domain=Binary)            # pedido i va por mensajería
model.z = Var(model.J, domain=Binary)            # camión usado
# ----------------------------------------------------
# 6) FUNCIÓN OBJETIVO
# ----------------------------------------------------
def obj_rule(m):
    return (
        sum(m.u[i] * m.x[i, j] for i in m.I for j in m.J)        # coste variable camión
        + sum(m.t[i] * m.y[i] for i in m.I)                      # mensajería
        + sum(m.F[j] * m.z[j] for j in m.J)                      # coste fijo camión
        - sum(m.s * m.delta[i] * (sum(m.x[i, j] for j in m.J) + m.y[i]) 
              for i in m.I)                                      # almacenaje (adelanto)
    )
model.OBJ = Objective(rule=obj_rule, sense=minimize)
# ----------------------------------------------------
# 7) RESTRICCIONES
# ----------------------------------------------------
# A) Todos los pedidos del día se envían
def hoy_rule(m, i):
    if m.fecha[i] == m.fecha_hoy:
        return sum(m.x[i, j] for j in m.J) + m.y[i] == 1
    return Constraint.Skip
model.envio_hoy = Constraint(model.I, rule=hoy_rule)
# B) Pedidos futuros: envío opcional
def futuro_rule(m, i):
    if m.fecha[i] &gt; m.fecha_hoy:
        return sum(m.x[i, j] for j in m.J)&lt;= 1
    return Constraint.Skip
model.envio_fut = Constraint(model.I, rule=futuro_rule)
# Los envíos futuros NO se envían por mensajería
def futuro_mens_rule(m, i):
    if m.fecha[i] &gt; m.fecha_hoy:
        return m.y[i] == 0
    return Constraint.Skip
model.futuro_mens = Constraint(model.I, rule=futuro_mens_rule)
# C) Solo cargar camión si se usa
def linking_rule(m, i, j):
    return m.x[i, j] &lt;= m.z[j]
model.link = Constraint(model.I, model.J, rule=linking_rule)
# D) Capacidad volumen
def volumen_rule(m, j):
    return sum(m.vol[i] * m.x[i, j] for i in m.I) &lt;= m.V[j]
model.volumen = Constraint(model.J, rule=volumen_rule)
# E) Capacidad peso
def peso_rule(m, j):
    return sum(m.pes[i] * m.x[i, j] for i in m.I) &lt;= m.W[j]
model.peso = Constraint(model.J, rule=peso_rule)
# F) ADR máximo
def adr_rule(m, j):
    return sum(m.adr[i] * m.vol[i] * m.x[i, j] for i in m.I) &lt;= m.ADRmax[j]
model.adr_limit = Constraint(model.J, rule=adr_rule)
# G) Paradas máximas
def paradas_rule(m, j):
    return sum(m.x[i, j] for i in m.I) &lt;= m.Pmax[j]
model.paradas = Constraint(model.J, rule=paradas_rule)
</FileText>
      <ParentWorksheetName>Pedidos</ParentWorksheetName>
    </StoredFile>
    <StoredFile>
      <FileName>Untitled</FileName>
      <LanguageName>PuLP</LanguageName>
      <ModelPaneVisible>true</ModelPaneVisible>
      <ModelSettings/>
      <FileText/>
      <ParentWorksheetName>Camiones</ParentWorksheetName>
    </StoredFile>
    <StoredFile>
      <FileName>Untitled</FileName>
      <LanguageName>PuLP</LanguageName>
      <ModelPaneVisible>false</ModelPaneVisible>
      <ModelSettings/>
      <FileText/>
      <ParentWorksheetName>Clientes</ParentWorksheetName>
    </StoredFile>
    <StoredFile>
      <FileName>Untitled</FileName>
      <LanguageName>PuLP</LanguageName>
      <ModelPaneVisible>false</ModelPaneVisible>
      <ModelSettings/>
      <FileText/>
      <ParentWorksheetName>Resultados</ParentWorksheetName>
    </StoredFile>
  </StoredFiles>
</StoredFilesList>
</file>

<file path=customXml/itemProps1.xml><?xml version="1.0" encoding="utf-8"?>
<ds:datastoreItem xmlns:ds="http://schemas.openxmlformats.org/officeDocument/2006/customXml" ds:itemID="{EA5C5F69-9C34-4409-8A9E-64D7C0826EBC}">
  <ds:schemaRefs>
    <ds:schemaRef ds:uri="http://www.w3.org/2001/XMLSchema"/>
    <ds:schemaRef ds:uri="http://opensolver.org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21</vt:i4>
      </vt:variant>
    </vt:vector>
  </HeadingPairs>
  <TitlesOfParts>
    <vt:vector size="25" baseType="lpstr">
      <vt:lpstr>Pedidos</vt:lpstr>
      <vt:lpstr>Clientes</vt:lpstr>
      <vt:lpstr>Camiones</vt:lpstr>
      <vt:lpstr>Resultados</vt:lpstr>
      <vt:lpstr>Pedidos!adr</vt:lpstr>
      <vt:lpstr>Pedidos!ADRmax</vt:lpstr>
      <vt:lpstr>Pedidos!alpha</vt:lpstr>
      <vt:lpstr>Pedidos!C.</vt:lpstr>
      <vt:lpstr>Pedidos!cli</vt:lpstr>
      <vt:lpstr>Pedidos!dist_c</vt:lpstr>
      <vt:lpstr>Pedidos!F.</vt:lpstr>
      <vt:lpstr>Pedidos!fecha</vt:lpstr>
      <vt:lpstr>Pedidos!fecha_hoy</vt:lpstr>
      <vt:lpstr>Pedidos!I</vt:lpstr>
      <vt:lpstr>Pedidos!J</vt:lpstr>
      <vt:lpstr>Pedidos!pes</vt:lpstr>
      <vt:lpstr>Pedidos!Pmax</vt:lpstr>
      <vt:lpstr>Pedidos!s</vt:lpstr>
      <vt:lpstr>Pedidos!t</vt:lpstr>
      <vt:lpstr>Pedidos!V</vt:lpstr>
      <vt:lpstr>Pedidos!vol</vt:lpstr>
      <vt:lpstr>Pedidos!W</vt:lpstr>
      <vt:lpstr>Pedidos!x</vt:lpstr>
      <vt:lpstr>Pedidos!y</vt:lpstr>
      <vt:lpstr>Pedidos!z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ALVAREZ ALVAREZ</cp:lastModifiedBy>
  <dcterms:created xsi:type="dcterms:W3CDTF">2025-11-15T12:33:46Z</dcterms:created>
  <dcterms:modified xsi:type="dcterms:W3CDTF">2025-12-09T14:36:33Z</dcterms:modified>
</cp:coreProperties>
</file>