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francisco_parreno_uclm_es/Documents/Proyectos y TFG/TFG_Enrique_Alvarez/"/>
    </mc:Choice>
  </mc:AlternateContent>
  <xr:revisionPtr revIDLastSave="3335" documentId="14_{66C855AB-438E-4F3E-92E3-D2AB04F70EA3}" xr6:coauthVersionLast="47" xr6:coauthVersionMax="47" xr10:uidLastSave="{6F556EC4-C325-4FF1-90AD-BC85AEFB9068}"/>
  <bookViews>
    <workbookView xWindow="-120" yWindow="-120" windowWidth="51840" windowHeight="21840" xr2:uid="{00000000-000D-0000-FFFF-FFFF00000000}"/>
  </bookViews>
  <sheets>
    <sheet name="Pedidos" sheetId="1" r:id="rId1"/>
    <sheet name="Clientes" sheetId="4" r:id="rId2"/>
    <sheet name="Camiones" sheetId="2" r:id="rId3"/>
    <sheet name="Resultados" sheetId="5" r:id="rId4"/>
  </sheets>
  <definedNames>
    <definedName name="adr" localSheetId="0">Pedidos!$F$2:$F$101</definedName>
    <definedName name="adr.badindex" localSheetId="0" hidden="1">1</definedName>
    <definedName name="adr.rowindex" localSheetId="0" hidden="1">Pedidos!I</definedName>
    <definedName name="adr.rowindex.dirn" localSheetId="0" hidden="1">"row"</definedName>
    <definedName name="ADRmax" localSheetId="0">Camiones!$E$2:$E$11</definedName>
    <definedName name="ADRmax.badindex" localSheetId="0" hidden="1">1</definedName>
    <definedName name="ADRmax.rowindex" localSheetId="0" hidden="1">Pedidos!J</definedName>
    <definedName name="ADRmax.rowindex.dirn" localSheetId="0" hidden="1">"row"</definedName>
    <definedName name="alpha" localSheetId="0">Pedidos!$I$2</definedName>
    <definedName name="C." localSheetId="0">Clientes!$A$2:$A$11</definedName>
    <definedName name="C.dirn" localSheetId="0" hidden="1">"row"</definedName>
    <definedName name="cli" localSheetId="0">Pedidos!$B$2:$B$101</definedName>
    <definedName name="cli.badindex" localSheetId="0" hidden="1">1</definedName>
    <definedName name="cli.rowindex" localSheetId="0" hidden="1">Pedidos!I</definedName>
    <definedName name="cli.rowindex.dirn" localSheetId="0" hidden="1">"row"</definedName>
    <definedName name="dist_c" localSheetId="0">Clientes!$B$2:$B$11</definedName>
    <definedName name="dist_c.badindex" localSheetId="0" hidden="1">1</definedName>
    <definedName name="dist_c.rowindex" localSheetId="0" hidden="1">Clientes!$A$2:$A$11</definedName>
    <definedName name="dist_c.rowindex.dirn" localSheetId="0" hidden="1">"row"</definedName>
    <definedName name="F." localSheetId="0">Camiones!$F$2:$F$11</definedName>
    <definedName name="F.badindex" localSheetId="0" hidden="1">1</definedName>
    <definedName name="F.rowindex" localSheetId="0" hidden="1">Pedidos!J</definedName>
    <definedName name="F.rowindex.dirn" localSheetId="0" hidden="1">"row"</definedName>
    <definedName name="fecha" localSheetId="0">Pedidos!$E$2:$E$101</definedName>
    <definedName name="fecha.badindex" localSheetId="0" hidden="1">1</definedName>
    <definedName name="fecha.rowindex" localSheetId="0" hidden="1">Pedidos!I</definedName>
    <definedName name="fecha.rowindex.dirn" localSheetId="0" hidden="1">"row"</definedName>
    <definedName name="fecha_hoy" localSheetId="0">Pedidos!$K$2</definedName>
    <definedName name="I" localSheetId="0">Pedidos!$A$2:$A$101</definedName>
    <definedName name="I.dirn" localSheetId="0" hidden="1">"row"</definedName>
    <definedName name="J" localSheetId="0">Camiones!$A$2:$A$11</definedName>
    <definedName name="J.dirn" localSheetId="0" hidden="1">"row"</definedName>
    <definedName name="pes" localSheetId="0">Pedidos!$D$2:$D$101</definedName>
    <definedName name="pes.badindex" localSheetId="0" hidden="1">1</definedName>
    <definedName name="pes.rowindex" localSheetId="0" hidden="1">Pedidos!I</definedName>
    <definedName name="pes.rowindex.dirn" localSheetId="0" hidden="1">"row"</definedName>
    <definedName name="Pmax" localSheetId="0">Camiones!$D$2:$D$11</definedName>
    <definedName name="Pmax.badindex" localSheetId="0" hidden="1">1</definedName>
    <definedName name="Pmax.rowindex" localSheetId="0" hidden="1">Pedidos!J</definedName>
    <definedName name="Pmax.rowindex.dirn" localSheetId="0" hidden="1">"row"</definedName>
    <definedName name="s" localSheetId="0">Pedidos!$J$2</definedName>
    <definedName name="t" localSheetId="0">Pedidos!$G$2:$G$101</definedName>
    <definedName name="t.badindex" localSheetId="0" hidden="1">1</definedName>
    <definedName name="t.rowindex" localSheetId="0" hidden="1">Pedidos!I</definedName>
    <definedName name="t.rowindex.dirn" localSheetId="0" hidden="1">"row"</definedName>
    <definedName name="V" localSheetId="0">Camiones!$B$2:$B$11</definedName>
    <definedName name="V.badindex" localSheetId="0" hidden="1">1</definedName>
    <definedName name="V.rowindex" localSheetId="0" hidden="1">Pedidos!J</definedName>
    <definedName name="V.rowindex.dirn" localSheetId="0" hidden="1">"row"</definedName>
    <definedName name="vol" localSheetId="0">Pedidos!$C$2:$C$101</definedName>
    <definedName name="vol.badindex" localSheetId="0" hidden="1">1</definedName>
    <definedName name="vol.rowindex" localSheetId="0" hidden="1">Pedidos!I</definedName>
    <definedName name="vol.rowindex.dirn" localSheetId="0" hidden="1">"row"</definedName>
    <definedName name="W" localSheetId="0">Camiones!$C$2:$C$11</definedName>
    <definedName name="W.badindex" localSheetId="0" hidden="1">1</definedName>
    <definedName name="W.rowindex" localSheetId="0" hidden="1">Pedidos!J</definedName>
    <definedName name="W.rowindex.dirn" localSheetId="0" hidden="1">"row"</definedName>
    <definedName name="x" localSheetId="0">Resultados!$C$2:$L$101</definedName>
    <definedName name="x.badindex" localSheetId="0" hidden="1">1</definedName>
    <definedName name="x.columnindex" localSheetId="0" hidden="1">Pedidos!J</definedName>
    <definedName name="x.columnindex.dirn" localSheetId="0" hidden="1">"row"</definedName>
    <definedName name="x.firstindex" localSheetId="0" hidden="1">"row"</definedName>
    <definedName name="x.rowindex" localSheetId="0" hidden="1">Pedidos!I</definedName>
    <definedName name="x.rowindex.dirn" localSheetId="0" hidden="1">"row"</definedName>
    <definedName name="y" localSheetId="0">Resultados!$M$2:$M$101</definedName>
    <definedName name="y.badindex" localSheetId="0" hidden="1">1</definedName>
    <definedName name="y.rowindex" localSheetId="0" hidden="1">Resultados!$A$2:$A$101</definedName>
    <definedName name="y.rowindex.dirn" localSheetId="0" hidden="1">"row"</definedName>
    <definedName name="z" localSheetId="0">Resultados!$C$103:$L$103</definedName>
    <definedName name="z.badindex" localSheetId="0" hidden="1">1</definedName>
    <definedName name="z.columnindex" localSheetId="0" hidden="1">Pedidos!J</definedName>
    <definedName name="z.columnindex.dirn" localSheetId="0" hidden="1">"row"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<sst xmlns="http://schemas.openxmlformats.org/spreadsheetml/2006/main" count="260" uniqueCount="160">
  <si>
    <t>coste_mensajeria</t>
  </si>
  <si>
    <t>C1</t>
  </si>
  <si>
    <t>C2</t>
  </si>
  <si>
    <t>P1</t>
  </si>
  <si>
    <t>P2</t>
  </si>
  <si>
    <t>P3</t>
  </si>
  <si>
    <t>α</t>
  </si>
  <si>
    <t>Cliente</t>
  </si>
  <si>
    <t>Volumen</t>
  </si>
  <si>
    <t>Fecha</t>
  </si>
  <si>
    <t>T1</t>
  </si>
  <si>
    <t>T2</t>
  </si>
  <si>
    <t>Peso</t>
  </si>
  <si>
    <t>s</t>
  </si>
  <si>
    <t>Fecha_hoy</t>
  </si>
  <si>
    <t>Camión T1</t>
  </si>
  <si>
    <t>Camión T2</t>
  </si>
  <si>
    <t>Mensajería</t>
  </si>
  <si>
    <t>C3</t>
  </si>
  <si>
    <t>P4</t>
  </si>
  <si>
    <t>P5</t>
  </si>
  <si>
    <t>P6</t>
  </si>
  <si>
    <t>Camión (J)</t>
  </si>
  <si>
    <t>Volumen (Vj​)</t>
  </si>
  <si>
    <t>Peso (Wj​)</t>
  </si>
  <si>
    <t>Paradas Max (Pmax​)</t>
  </si>
  <si>
    <t>ADR Max (LADR​)</t>
  </si>
  <si>
    <t>Coste Fijo (Fj​)</t>
  </si>
  <si>
    <t>Cliente (C)</t>
  </si>
  <si>
    <t>Distancia (km)</t>
  </si>
  <si>
    <t>C4</t>
  </si>
  <si>
    <t>ID</t>
  </si>
  <si>
    <t>ADR (0/1)</t>
  </si>
  <si>
    <t>T3</t>
  </si>
  <si>
    <t>T4</t>
  </si>
  <si>
    <t>T5</t>
  </si>
  <si>
    <t>ROL</t>
  </si>
  <si>
    <t>pequeño</t>
  </si>
  <si>
    <t>mediano</t>
  </si>
  <si>
    <t>mediano adr</t>
  </si>
  <si>
    <t>grande</t>
  </si>
  <si>
    <t>pequeño y económico</t>
  </si>
  <si>
    <t>C5</t>
  </si>
  <si>
    <t>C6</t>
  </si>
  <si>
    <t>C7</t>
  </si>
  <si>
    <t>C8</t>
  </si>
  <si>
    <t>C9</t>
  </si>
  <si>
    <t>C10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</si>
  <si>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</si>
  <si>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</si>
  <si>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</si>
  <si>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</si>
  <si>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</si>
  <si>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</si>
  <si>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</si>
  <si>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</si>
  <si>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</si>
  <si>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</si>
  <si>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</si>
  <si>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</si>
  <si>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</si>
  <si>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</si>
  <si>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</si>
  <si>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</si>
  <si>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</si>
  <si>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</si>
  <si>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</si>
  <si>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</si>
  <si>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</si>
  <si>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</si>
  <si>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</si>
  <si>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</si>
  <si>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</si>
  <si>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</si>
  <si>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</si>
  <si>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</si>
  <si>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</si>
  <si>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</si>
  <si>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</si>
  <si>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</si>
  <si>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</si>
  <si>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</si>
  <si>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Camión T3</t>
  </si>
  <si>
    <t>Camión T4</t>
  </si>
  <si>
    <t>Camión T5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</si>
  <si>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</si>
  <si>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</si>
  <si>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</si>
  <si>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</si>
  <si>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</si>
  <si>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</si>
  <si>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</si>
  <si>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</si>
  <si>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</si>
  <si>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</si>
  <si>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</si>
  <si>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</si>
  <si>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</si>
  <si>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</si>
  <si>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</si>
  <si>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</si>
  <si>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</si>
  <si>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</si>
  <si>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</si>
  <si>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</si>
  <si>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</si>
  <si>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</si>
  <si>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</si>
  <si>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</si>
  <si>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</si>
  <si>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</si>
  <si>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</si>
  <si>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</si>
  <si>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</si>
  <si>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</si>
  <si>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</si>
  <si>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</si>
  <si>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</si>
  <si>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</si>
  <si>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</si>
  <si>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</si>
  <si>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</si>
  <si>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</si>
  <si>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</si>
  <si>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</si>
  <si>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</si>
  <si>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</si>
  <si>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</si>
  <si>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</si>
  <si>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</si>
  <si>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</si>
  <si>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</si>
  <si>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</si>
  <si>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</si>
  <si>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</si>
  <si>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</si>
  <si>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</si>
  <si>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</si>
  <si>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</si>
  <si>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</si>
  <si>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</si>
  <si>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</si>
  <si>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</si>
  <si>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</si>
  <si>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</si>
  <si>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T6</t>
  </si>
  <si>
    <t>T7</t>
  </si>
  <si>
    <t>T8</t>
  </si>
  <si>
    <t>T9</t>
  </si>
  <si>
    <t>T10</t>
  </si>
  <si>
    <t>Caro, paradas medias</t>
  </si>
  <si>
    <t>Muy grande y costoso</t>
  </si>
  <si>
    <t>Caro, adr pequeño</t>
  </si>
  <si>
    <t>mediano, alto coste</t>
  </si>
  <si>
    <t>equilibrado</t>
  </si>
  <si>
    <t>Camión T6</t>
  </si>
  <si>
    <t>Camión T7</t>
  </si>
  <si>
    <t>Camión T8</t>
  </si>
  <si>
    <t>Camión T9</t>
  </si>
  <si>
    <t>Camión 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</si>
</sst>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>
      <selection activeCell="K20" sqref="K20"/>
    </sheetView>
  </sheetViews>
  <sheetFormatPr baseColWidth="10" defaultColWidth="9.140625" defaultRowHeight="15" x14ac:dyDescent="0.25"/>
  <cols>
    <col min="1" max="2" width="13.42578125" customWidth="1"/>
    <col min="5" max="5" width="17.42578125" customWidth="1"/>
    <col min="7" max="7" width="16.85546875" customWidth="1"/>
    <col min="11" max="11" width="11.85546875" customWidth="1"/>
  </cols>
  <sheetData>
    <row r="1" spans="1:11" x14ac:dyDescent="0.25">
      <c r="A1" t="s">
        <v>31</v>
      </c>
      <c r="B1" t="s">
        <v>7</v>
      </c>
      <c r="C1" t="s">
        <v>8</v>
      </c>
      <c r="D1" t="s">
        <v>12</v>
      </c>
      <c r="E1" t="s">
        <v>9</v>
      </c>
      <c r="F1" t="s">
        <v>32</v>
      </c>
      <c r="G1" t="s">
        <v>0</v>
      </c>
      <c r="I1" s="1" t="s">
        <v>6</v>
      </c>
      <c r="J1" t="s">
        <v>13</v>
      </c>
      <c r="K1" t="s">
        <v>14</v>
      </c>
    </row>
    <row r="2" spans="1:11" x14ac:dyDescent="0.25">
      <c r="A2" t="s">
        <v>3</v>
      </c>
      <c r="B2" t="s">
        <v>1</v>
      </c>
      <c r="C2">
        <v>2</v>
      </c>
      <c r="D2">
        <v>200</v>
      </c>
      <c r="E2" s="3">
        <v>45984</v>
      </c>
      <c r="F2">
        <v>0</v>
      </c>
      <c r="G2">
        <v>350</v>
      </c>
      <c r="I2" s="2">
        <v>0.5</v>
      </c>
      <c r="J2" s="2">
        <v>100</v>
      </c>
      <c r="K2" s="3">
        <v>45984</v>
      </c>
    </row>
    <row r="3" spans="1:11" x14ac:dyDescent="0.25">
      <c r="A3" t="s">
        <v>4</v>
      </c>
      <c r="B3" t="s">
        <v>2</v>
      </c>
      <c r="C3">
        <v>2</v>
      </c>
      <c r="D3">
        <v>200</v>
      </c>
      <c r="E3" s="3">
        <v>45984</v>
      </c>
      <c r="F3">
        <v>0</v>
      </c>
      <c r="G3">
        <v>350</v>
      </c>
    </row>
    <row r="4" spans="1:11" x14ac:dyDescent="0.25">
      <c r="A4" t="s">
        <v>5</v>
      </c>
      <c r="B4" t="s">
        <v>18</v>
      </c>
      <c r="C4">
        <v>2</v>
      </c>
      <c r="D4">
        <v>200</v>
      </c>
      <c r="E4" s="3">
        <v>45984</v>
      </c>
      <c r="F4">
        <v>0</v>
      </c>
      <c r="G4">
        <v>350</v>
      </c>
    </row>
    <row r="5" spans="1:11" x14ac:dyDescent="0.25">
      <c r="A5" t="s">
        <v>19</v>
      </c>
      <c r="B5" t="s">
        <v>30</v>
      </c>
      <c r="C5">
        <v>2</v>
      </c>
      <c r="D5">
        <v>200</v>
      </c>
      <c r="E5" s="3">
        <v>45984</v>
      </c>
      <c r="F5">
        <v>0</v>
      </c>
      <c r="G5">
        <v>350</v>
      </c>
    </row>
    <row r="6" spans="1:11" x14ac:dyDescent="0.25">
      <c r="A6" t="s">
        <v>20</v>
      </c>
      <c r="B6" t="s">
        <v>42</v>
      </c>
      <c r="C6">
        <v>2</v>
      </c>
      <c r="D6">
        <v>200</v>
      </c>
      <c r="E6" s="3">
        <v>45984</v>
      </c>
      <c r="F6">
        <v>0</v>
      </c>
      <c r="G6">
        <v>350</v>
      </c>
    </row>
    <row r="7" spans="1:11" x14ac:dyDescent="0.25">
      <c r="A7" t="s">
        <v>21</v>
      </c>
      <c r="B7" t="s">
        <v>43</v>
      </c>
      <c r="C7">
        <v>2</v>
      </c>
      <c r="D7">
        <v>200</v>
      </c>
      <c r="E7" s="3">
        <v>45984</v>
      </c>
      <c r="F7">
        <v>0</v>
      </c>
      <c r="G7">
        <v>350</v>
      </c>
    </row>
    <row r="8" spans="1:11" x14ac:dyDescent="0.25">
      <c r="A8" t="s">
        <v>48</v>
      </c>
      <c r="B8" t="s">
        <v>44</v>
      </c>
      <c r="C8">
        <v>2</v>
      </c>
      <c r="D8">
        <v>200</v>
      </c>
      <c r="E8" s="3">
        <v>45984</v>
      </c>
      <c r="F8">
        <v>0</v>
      </c>
      <c r="G8">
        <v>350</v>
      </c>
    </row>
    <row r="9" spans="1:11" x14ac:dyDescent="0.25">
      <c r="A9" t="s">
        <v>49</v>
      </c>
      <c r="B9" t="s">
        <v>45</v>
      </c>
      <c r="C9">
        <v>2</v>
      </c>
      <c r="D9">
        <v>200</v>
      </c>
      <c r="E9" s="3">
        <v>45984</v>
      </c>
      <c r="F9">
        <v>0</v>
      </c>
      <c r="G9">
        <v>350</v>
      </c>
    </row>
    <row r="10" spans="1:11" x14ac:dyDescent="0.25">
      <c r="A10" t="s">
        <v>50</v>
      </c>
      <c r="B10" t="s">
        <v>46</v>
      </c>
      <c r="C10">
        <v>4</v>
      </c>
      <c r="D10">
        <v>400</v>
      </c>
      <c r="E10" s="3">
        <v>45984</v>
      </c>
      <c r="F10">
        <v>1</v>
      </c>
      <c r="G10">
        <v>350</v>
      </c>
    </row>
    <row r="11" spans="1:11" x14ac:dyDescent="0.25">
      <c r="A11" t="s">
        <v>51</v>
      </c>
      <c r="B11" t="s">
        <v>47</v>
      </c>
      <c r="C11">
        <v>4</v>
      </c>
      <c r="D11">
        <v>400</v>
      </c>
      <c r="E11" s="3">
        <v>45984</v>
      </c>
      <c r="F11">
        <v>1</v>
      </c>
      <c r="G11">
        <v>350</v>
      </c>
    </row>
    <row r="12" spans="1:11" x14ac:dyDescent="0.25">
      <c r="A12" t="s">
        <v>52</v>
      </c>
      <c r="B12" t="s">
        <v>1</v>
      </c>
      <c r="C12">
        <v>2</v>
      </c>
      <c r="D12">
        <v>150</v>
      </c>
      <c r="E12" s="3">
        <v>45984</v>
      </c>
      <c r="F12">
        <v>0</v>
      </c>
      <c r="G12">
        <v>350</v>
      </c>
    </row>
    <row r="13" spans="1:11" x14ac:dyDescent="0.25">
      <c r="A13" t="s">
        <v>53</v>
      </c>
      <c r="B13" t="s">
        <v>2</v>
      </c>
      <c r="C13">
        <v>2</v>
      </c>
      <c r="D13">
        <v>150</v>
      </c>
      <c r="E13" s="3">
        <v>45984</v>
      </c>
      <c r="F13">
        <v>0</v>
      </c>
      <c r="G13">
        <v>350</v>
      </c>
    </row>
    <row r="14" spans="1:11" x14ac:dyDescent="0.25">
      <c r="A14" t="s">
        <v>54</v>
      </c>
      <c r="B14" t="s">
        <v>18</v>
      </c>
      <c r="C14">
        <v>2</v>
      </c>
      <c r="D14">
        <v>150</v>
      </c>
      <c r="E14" s="3">
        <v>45984</v>
      </c>
      <c r="F14">
        <v>0</v>
      </c>
      <c r="G14">
        <v>350</v>
      </c>
    </row>
    <row r="15" spans="1:11" x14ac:dyDescent="0.25">
      <c r="A15" t="s">
        <v>55</v>
      </c>
      <c r="B15" t="s">
        <v>30</v>
      </c>
      <c r="C15">
        <v>2</v>
      </c>
      <c r="D15">
        <v>150</v>
      </c>
      <c r="E15" s="3">
        <v>45984</v>
      </c>
      <c r="F15">
        <v>0</v>
      </c>
      <c r="G15">
        <v>350</v>
      </c>
    </row>
    <row r="16" spans="1:11" x14ac:dyDescent="0.25">
      <c r="A16" t="s">
        <v>56</v>
      </c>
      <c r="B16" t="s">
        <v>42</v>
      </c>
      <c r="C16">
        <v>2</v>
      </c>
      <c r="D16">
        <v>150</v>
      </c>
      <c r="E16" s="3">
        <v>45984</v>
      </c>
      <c r="F16">
        <v>0</v>
      </c>
      <c r="G16">
        <v>350</v>
      </c>
    </row>
    <row r="17" spans="1:11" x14ac:dyDescent="0.25">
      <c r="A17" t="s">
        <v>57</v>
      </c>
      <c r="B17" t="s">
        <v>43</v>
      </c>
      <c r="C17">
        <v>2</v>
      </c>
      <c r="D17">
        <v>150</v>
      </c>
      <c r="E17" s="3">
        <v>45984</v>
      </c>
      <c r="F17">
        <v>0</v>
      </c>
      <c r="G17">
        <v>350</v>
      </c>
    </row>
    <row r="18" spans="1:11" x14ac:dyDescent="0.25">
      <c r="A18" t="s">
        <v>58</v>
      </c>
      <c r="B18" t="s">
        <v>44</v>
      </c>
      <c r="C18">
        <v>2</v>
      </c>
      <c r="D18">
        <v>150</v>
      </c>
      <c r="E18" s="3">
        <v>45984</v>
      </c>
      <c r="F18">
        <v>0</v>
      </c>
      <c r="G18">
        <v>350</v>
      </c>
    </row>
    <row r="19" spans="1:11" x14ac:dyDescent="0.25">
      <c r="A19" t="s">
        <v>59</v>
      </c>
      <c r="B19" t="s">
        <v>45</v>
      </c>
      <c r="C19">
        <v>2</v>
      </c>
      <c r="D19">
        <v>150</v>
      </c>
      <c r="E19" s="3">
        <v>45984</v>
      </c>
      <c r="F19">
        <v>0</v>
      </c>
      <c r="G19">
        <v>350</v>
      </c>
    </row>
    <row r="20" spans="1:11" x14ac:dyDescent="0.25">
      <c r="A20" t="s">
        <v>60</v>
      </c>
      <c r="B20" t="s">
        <v>46</v>
      </c>
      <c r="C20">
        <v>2</v>
      </c>
      <c r="D20">
        <v>150</v>
      </c>
      <c r="E20" s="3">
        <v>45984</v>
      </c>
      <c r="F20">
        <v>0</v>
      </c>
      <c r="G20">
        <v>350</v>
      </c>
    </row>
    <row r="21" spans="1:11" x14ac:dyDescent="0.25">
      <c r="A21" t="s">
        <v>61</v>
      </c>
      <c r="B21" t="s">
        <v>47</v>
      </c>
      <c r="C21">
        <v>2</v>
      </c>
      <c r="D21">
        <v>150</v>
      </c>
      <c r="E21" s="3">
        <v>45984</v>
      </c>
      <c r="F21">
        <v>0</v>
      </c>
      <c r="G21">
        <v>350</v>
      </c>
    </row>
    <row r="22" spans="1:11" x14ac:dyDescent="0.25">
      <c r="A22" t="s">
        <v>62</v>
      </c>
      <c r="B22" t="s">
        <v>1</v>
      </c>
      <c r="C22">
        <v>2</v>
      </c>
      <c r="D22">
        <v>200</v>
      </c>
      <c r="E22" s="3">
        <v>45984</v>
      </c>
      <c r="F22">
        <v>0</v>
      </c>
      <c r="G22">
        <v>350</v>
      </c>
      <c r="I22" s="2"/>
      <c r="J22" s="2"/>
      <c r="K22" s="3"/>
    </row>
    <row r="23" spans="1:11" x14ac:dyDescent="0.25">
      <c r="A23" t="s">
        <v>63</v>
      </c>
      <c r="B23" t="s">
        <v>2</v>
      </c>
      <c r="C23">
        <v>2</v>
      </c>
      <c r="D23">
        <v>200</v>
      </c>
      <c r="E23" s="3">
        <v>45984</v>
      </c>
      <c r="F23">
        <v>0</v>
      </c>
      <c r="G23">
        <v>350</v>
      </c>
    </row>
    <row r="24" spans="1:11" x14ac:dyDescent="0.25">
      <c r="A24" t="s">
        <v>64</v>
      </c>
      <c r="B24" t="s">
        <v>18</v>
      </c>
      <c r="C24">
        <v>2</v>
      </c>
      <c r="D24">
        <v>200</v>
      </c>
      <c r="E24" s="3">
        <v>45984</v>
      </c>
      <c r="F24">
        <v>0</v>
      </c>
      <c r="G24">
        <v>350</v>
      </c>
    </row>
    <row r="25" spans="1:11" x14ac:dyDescent="0.25">
      <c r="A25" t="s">
        <v>65</v>
      </c>
      <c r="B25" t="s">
        <v>30</v>
      </c>
      <c r="C25">
        <v>2</v>
      </c>
      <c r="D25">
        <v>200</v>
      </c>
      <c r="E25" s="3">
        <v>45984</v>
      </c>
      <c r="F25">
        <v>0</v>
      </c>
      <c r="G25">
        <v>350</v>
      </c>
    </row>
    <row r="26" spans="1:11" x14ac:dyDescent="0.25">
      <c r="A26" t="s">
        <v>66</v>
      </c>
      <c r="B26" t="s">
        <v>42</v>
      </c>
      <c r="C26">
        <v>2</v>
      </c>
      <c r="D26">
        <v>200</v>
      </c>
      <c r="E26" s="3">
        <v>45984</v>
      </c>
      <c r="F26">
        <v>0</v>
      </c>
      <c r="G26">
        <v>350</v>
      </c>
    </row>
    <row r="27" spans="1:11" x14ac:dyDescent="0.25">
      <c r="A27" t="s">
        <v>67</v>
      </c>
      <c r="B27" t="s">
        <v>43</v>
      </c>
      <c r="C27">
        <v>2</v>
      </c>
      <c r="D27">
        <v>200</v>
      </c>
      <c r="E27" s="3">
        <v>45984</v>
      </c>
      <c r="F27">
        <v>0</v>
      </c>
      <c r="G27">
        <v>350</v>
      </c>
    </row>
    <row r="28" spans="1:11" x14ac:dyDescent="0.25">
      <c r="A28" t="s">
        <v>68</v>
      </c>
      <c r="B28" t="s">
        <v>44</v>
      </c>
      <c r="C28">
        <v>2</v>
      </c>
      <c r="D28">
        <v>200</v>
      </c>
      <c r="E28" s="3">
        <v>45984</v>
      </c>
      <c r="F28">
        <v>0</v>
      </c>
      <c r="G28">
        <v>350</v>
      </c>
    </row>
    <row r="29" spans="1:11" x14ac:dyDescent="0.25">
      <c r="A29" t="s">
        <v>69</v>
      </c>
      <c r="B29" t="s">
        <v>45</v>
      </c>
      <c r="C29">
        <v>2</v>
      </c>
      <c r="D29">
        <v>200</v>
      </c>
      <c r="E29" s="3">
        <v>45984</v>
      </c>
      <c r="F29">
        <v>0</v>
      </c>
      <c r="G29">
        <v>350</v>
      </c>
    </row>
    <row r="30" spans="1:11" x14ac:dyDescent="0.25">
      <c r="A30" t="s">
        <v>70</v>
      </c>
      <c r="B30" t="s">
        <v>46</v>
      </c>
      <c r="C30">
        <v>4</v>
      </c>
      <c r="D30">
        <v>400</v>
      </c>
      <c r="E30" s="3">
        <v>45984</v>
      </c>
      <c r="F30">
        <v>1</v>
      </c>
      <c r="G30">
        <v>350</v>
      </c>
    </row>
    <row r="31" spans="1:11" x14ac:dyDescent="0.25">
      <c r="A31" t="s">
        <v>71</v>
      </c>
      <c r="B31" t="s">
        <v>47</v>
      </c>
      <c r="C31">
        <v>4</v>
      </c>
      <c r="D31">
        <v>400</v>
      </c>
      <c r="E31" s="3">
        <v>45984</v>
      </c>
      <c r="F31">
        <v>1</v>
      </c>
      <c r="G31">
        <v>350</v>
      </c>
    </row>
    <row r="32" spans="1:11" x14ac:dyDescent="0.25">
      <c r="A32" t="s">
        <v>72</v>
      </c>
      <c r="B32" t="s">
        <v>1</v>
      </c>
      <c r="C32">
        <v>2</v>
      </c>
      <c r="D32">
        <v>150</v>
      </c>
      <c r="E32" s="3">
        <v>45984</v>
      </c>
      <c r="F32">
        <v>0</v>
      </c>
      <c r="G32">
        <v>350</v>
      </c>
    </row>
    <row r="33" spans="1:11" x14ac:dyDescent="0.25">
      <c r="A33" t="s">
        <v>73</v>
      </c>
      <c r="B33" t="s">
        <v>2</v>
      </c>
      <c r="C33">
        <v>2</v>
      </c>
      <c r="D33">
        <v>150</v>
      </c>
      <c r="E33" s="3">
        <v>45984</v>
      </c>
      <c r="F33">
        <v>0</v>
      </c>
      <c r="G33">
        <v>350</v>
      </c>
    </row>
    <row r="34" spans="1:11" x14ac:dyDescent="0.25">
      <c r="A34" t="s">
        <v>74</v>
      </c>
      <c r="B34" t="s">
        <v>18</v>
      </c>
      <c r="C34">
        <v>2</v>
      </c>
      <c r="D34">
        <v>150</v>
      </c>
      <c r="E34" s="3">
        <v>45984</v>
      </c>
      <c r="F34">
        <v>0</v>
      </c>
      <c r="G34">
        <v>350</v>
      </c>
    </row>
    <row r="35" spans="1:11" x14ac:dyDescent="0.25">
      <c r="A35" t="s">
        <v>75</v>
      </c>
      <c r="B35" t="s">
        <v>30</v>
      </c>
      <c r="C35">
        <v>2</v>
      </c>
      <c r="D35">
        <v>150</v>
      </c>
      <c r="E35" s="3">
        <v>45984</v>
      </c>
      <c r="F35">
        <v>0</v>
      </c>
      <c r="G35">
        <v>350</v>
      </c>
    </row>
    <row r="36" spans="1:11" x14ac:dyDescent="0.25">
      <c r="A36" t="s">
        <v>76</v>
      </c>
      <c r="B36" t="s">
        <v>42</v>
      </c>
      <c r="C36">
        <v>2</v>
      </c>
      <c r="D36">
        <v>150</v>
      </c>
      <c r="E36" s="3">
        <v>45984</v>
      </c>
      <c r="F36">
        <v>0</v>
      </c>
      <c r="G36">
        <v>350</v>
      </c>
    </row>
    <row r="37" spans="1:11" x14ac:dyDescent="0.25">
      <c r="A37" t="s">
        <v>77</v>
      </c>
      <c r="B37" t="s">
        <v>43</v>
      </c>
      <c r="C37">
        <v>2</v>
      </c>
      <c r="D37">
        <v>150</v>
      </c>
      <c r="E37" s="3">
        <v>45984</v>
      </c>
      <c r="F37">
        <v>0</v>
      </c>
      <c r="G37">
        <v>350</v>
      </c>
    </row>
    <row r="38" spans="1:11" x14ac:dyDescent="0.25">
      <c r="A38" t="s">
        <v>78</v>
      </c>
      <c r="B38" t="s">
        <v>44</v>
      </c>
      <c r="C38">
        <v>2</v>
      </c>
      <c r="D38">
        <v>150</v>
      </c>
      <c r="E38" s="3">
        <v>45984</v>
      </c>
      <c r="F38">
        <v>0</v>
      </c>
      <c r="G38">
        <v>350</v>
      </c>
    </row>
    <row r="39" spans="1:11" x14ac:dyDescent="0.25">
      <c r="A39" t="s">
        <v>79</v>
      </c>
      <c r="B39" t="s">
        <v>45</v>
      </c>
      <c r="C39">
        <v>2</v>
      </c>
      <c r="D39">
        <v>150</v>
      </c>
      <c r="E39" s="3">
        <v>45984</v>
      </c>
      <c r="F39">
        <v>0</v>
      </c>
      <c r="G39">
        <v>350</v>
      </c>
    </row>
    <row r="40" spans="1:11" x14ac:dyDescent="0.25">
      <c r="A40" t="s">
        <v>80</v>
      </c>
      <c r="B40" t="s">
        <v>46</v>
      </c>
      <c r="C40">
        <v>2</v>
      </c>
      <c r="D40">
        <v>150</v>
      </c>
      <c r="E40" s="3">
        <v>45984</v>
      </c>
      <c r="F40">
        <v>0</v>
      </c>
      <c r="G40">
        <v>350</v>
      </c>
    </row>
    <row r="41" spans="1:11" x14ac:dyDescent="0.25">
      <c r="A41" t="s">
        <v>81</v>
      </c>
      <c r="B41" t="s">
        <v>47</v>
      </c>
      <c r="C41">
        <v>2</v>
      </c>
      <c r="D41">
        <v>150</v>
      </c>
      <c r="E41" s="3">
        <v>45984</v>
      </c>
      <c r="F41">
        <v>0</v>
      </c>
      <c r="G41">
        <v>350</v>
      </c>
    </row>
    <row r="42" spans="1:11" x14ac:dyDescent="0.25">
      <c r="A42" t="s">
        <v>85</v>
      </c>
      <c r="B42" t="s">
        <v>1</v>
      </c>
      <c r="C42">
        <v>2</v>
      </c>
      <c r="D42">
        <v>200</v>
      </c>
      <c r="E42" s="3">
        <v>45984</v>
      </c>
      <c r="F42">
        <v>0</v>
      </c>
      <c r="G42">
        <v>350</v>
      </c>
      <c r="I42" s="2"/>
      <c r="J42" s="2"/>
      <c r="K42" s="3"/>
    </row>
    <row r="43" spans="1:11" x14ac:dyDescent="0.25">
      <c r="A43" t="s">
        <v>86</v>
      </c>
      <c r="B43" t="s">
        <v>2</v>
      </c>
      <c r="C43">
        <v>2</v>
      </c>
      <c r="D43">
        <v>200</v>
      </c>
      <c r="E43" s="3">
        <v>45984</v>
      </c>
      <c r="F43">
        <v>0</v>
      </c>
      <c r="G43">
        <v>350</v>
      </c>
    </row>
    <row r="44" spans="1:11" x14ac:dyDescent="0.25">
      <c r="A44" t="s">
        <v>87</v>
      </c>
      <c r="B44" t="s">
        <v>18</v>
      </c>
      <c r="C44">
        <v>2</v>
      </c>
      <c r="D44">
        <v>200</v>
      </c>
      <c r="E44" s="3">
        <v>45984</v>
      </c>
      <c r="F44">
        <v>0</v>
      </c>
      <c r="G44">
        <v>350</v>
      </c>
    </row>
    <row r="45" spans="1:11" x14ac:dyDescent="0.25">
      <c r="A45" t="s">
        <v>88</v>
      </c>
      <c r="B45" t="s">
        <v>30</v>
      </c>
      <c r="C45">
        <v>2</v>
      </c>
      <c r="D45">
        <v>200</v>
      </c>
      <c r="E45" s="3">
        <v>45984</v>
      </c>
      <c r="F45">
        <v>0</v>
      </c>
      <c r="G45">
        <v>350</v>
      </c>
    </row>
    <row r="46" spans="1:11" x14ac:dyDescent="0.25">
      <c r="A46" t="s">
        <v>89</v>
      </c>
      <c r="B46" t="s">
        <v>42</v>
      </c>
      <c r="C46">
        <v>2</v>
      </c>
      <c r="D46">
        <v>200</v>
      </c>
      <c r="E46" s="3">
        <v>45984</v>
      </c>
      <c r="F46">
        <v>0</v>
      </c>
      <c r="G46">
        <v>350</v>
      </c>
    </row>
    <row r="47" spans="1:11" x14ac:dyDescent="0.25">
      <c r="A47" t="s">
        <v>90</v>
      </c>
      <c r="B47" t="s">
        <v>43</v>
      </c>
      <c r="C47">
        <v>2</v>
      </c>
      <c r="D47">
        <v>200</v>
      </c>
      <c r="E47" s="3">
        <v>45984</v>
      </c>
      <c r="F47">
        <v>0</v>
      </c>
      <c r="G47">
        <v>350</v>
      </c>
    </row>
    <row r="48" spans="1:11" x14ac:dyDescent="0.25">
      <c r="A48" t="s">
        <v>91</v>
      </c>
      <c r="B48" t="s">
        <v>44</v>
      </c>
      <c r="C48">
        <v>2</v>
      </c>
      <c r="D48">
        <v>200</v>
      </c>
      <c r="E48" s="3">
        <v>45984</v>
      </c>
      <c r="F48">
        <v>0</v>
      </c>
      <c r="G48">
        <v>350</v>
      </c>
    </row>
    <row r="49" spans="1:7" x14ac:dyDescent="0.25">
      <c r="A49" t="s">
        <v>92</v>
      </c>
      <c r="B49" t="s">
        <v>45</v>
      </c>
      <c r="C49">
        <v>2</v>
      </c>
      <c r="D49">
        <v>200</v>
      </c>
      <c r="E49" s="3">
        <v>45984</v>
      </c>
      <c r="F49">
        <v>0</v>
      </c>
      <c r="G49">
        <v>350</v>
      </c>
    </row>
    <row r="50" spans="1:7" x14ac:dyDescent="0.25">
      <c r="A50" t="s">
        <v>93</v>
      </c>
      <c r="B50" t="s">
        <v>46</v>
      </c>
      <c r="C50">
        <v>4</v>
      </c>
      <c r="D50">
        <v>400</v>
      </c>
      <c r="E50" s="3">
        <v>45984</v>
      </c>
      <c r="F50">
        <v>1</v>
      </c>
      <c r="G50">
        <v>350</v>
      </c>
    </row>
    <row r="51" spans="1:7" x14ac:dyDescent="0.25">
      <c r="A51" t="s">
        <v>94</v>
      </c>
      <c r="B51" t="s">
        <v>47</v>
      </c>
      <c r="C51">
        <v>4</v>
      </c>
      <c r="D51">
        <v>400</v>
      </c>
      <c r="E51" s="3">
        <v>45984</v>
      </c>
      <c r="F51">
        <v>1</v>
      </c>
      <c r="G51">
        <v>350</v>
      </c>
    </row>
    <row r="52" spans="1:7" x14ac:dyDescent="0.25">
      <c r="A52" t="s">
        <v>95</v>
      </c>
      <c r="B52" t="s">
        <v>1</v>
      </c>
      <c r="C52">
        <v>3</v>
      </c>
      <c r="D52">
        <v>300</v>
      </c>
      <c r="E52" s="3">
        <v>45985</v>
      </c>
      <c r="F52">
        <v>0</v>
      </c>
      <c r="G52">
        <v>350</v>
      </c>
    </row>
    <row r="53" spans="1:7" x14ac:dyDescent="0.25">
      <c r="A53" t="s">
        <v>96</v>
      </c>
      <c r="B53" t="s">
        <v>2</v>
      </c>
      <c r="C53">
        <v>3</v>
      </c>
      <c r="D53">
        <v>300</v>
      </c>
      <c r="E53" s="3">
        <v>45985</v>
      </c>
      <c r="F53">
        <v>0</v>
      </c>
      <c r="G53">
        <v>350</v>
      </c>
    </row>
    <row r="54" spans="1:7" x14ac:dyDescent="0.25">
      <c r="A54" t="s">
        <v>97</v>
      </c>
      <c r="B54" t="s">
        <v>18</v>
      </c>
      <c r="C54">
        <v>3</v>
      </c>
      <c r="D54">
        <v>300</v>
      </c>
      <c r="E54" s="3">
        <v>45985</v>
      </c>
      <c r="F54">
        <v>0</v>
      </c>
      <c r="G54">
        <v>350</v>
      </c>
    </row>
    <row r="55" spans="1:7" x14ac:dyDescent="0.25">
      <c r="A55" t="s">
        <v>98</v>
      </c>
      <c r="B55" t="s">
        <v>30</v>
      </c>
      <c r="C55">
        <v>3</v>
      </c>
      <c r="D55">
        <v>300</v>
      </c>
      <c r="E55" s="3">
        <v>45985</v>
      </c>
      <c r="F55">
        <v>0</v>
      </c>
      <c r="G55">
        <v>350</v>
      </c>
    </row>
    <row r="56" spans="1:7" x14ac:dyDescent="0.25">
      <c r="A56" t="s">
        <v>99</v>
      </c>
      <c r="B56" t="s">
        <v>42</v>
      </c>
      <c r="C56">
        <v>3</v>
      </c>
      <c r="D56">
        <v>300</v>
      </c>
      <c r="E56" s="3">
        <v>45985</v>
      </c>
      <c r="F56">
        <v>0</v>
      </c>
      <c r="G56">
        <v>350</v>
      </c>
    </row>
    <row r="57" spans="1:7" x14ac:dyDescent="0.25">
      <c r="A57" t="s">
        <v>100</v>
      </c>
      <c r="B57" t="s">
        <v>43</v>
      </c>
      <c r="C57">
        <v>3</v>
      </c>
      <c r="D57">
        <v>300</v>
      </c>
      <c r="E57" s="3">
        <v>45985</v>
      </c>
      <c r="F57">
        <v>0</v>
      </c>
      <c r="G57">
        <v>350</v>
      </c>
    </row>
    <row r="58" spans="1:7" x14ac:dyDescent="0.25">
      <c r="A58" t="s">
        <v>101</v>
      </c>
      <c r="B58" t="s">
        <v>44</v>
      </c>
      <c r="C58">
        <v>3</v>
      </c>
      <c r="D58">
        <v>300</v>
      </c>
      <c r="E58" s="3">
        <v>45985</v>
      </c>
      <c r="F58">
        <v>0</v>
      </c>
      <c r="G58">
        <v>350</v>
      </c>
    </row>
    <row r="59" spans="1:7" x14ac:dyDescent="0.25">
      <c r="A59" t="s">
        <v>102</v>
      </c>
      <c r="B59" t="s">
        <v>45</v>
      </c>
      <c r="C59">
        <v>3</v>
      </c>
      <c r="D59">
        <v>300</v>
      </c>
      <c r="E59" s="3">
        <v>45985</v>
      </c>
      <c r="F59">
        <v>0</v>
      </c>
      <c r="G59">
        <v>350</v>
      </c>
    </row>
    <row r="60" spans="1:7" x14ac:dyDescent="0.25">
      <c r="A60" t="s">
        <v>103</v>
      </c>
      <c r="B60" t="s">
        <v>46</v>
      </c>
      <c r="C60">
        <v>3</v>
      </c>
      <c r="D60">
        <v>300</v>
      </c>
      <c r="E60" s="3">
        <v>45985</v>
      </c>
      <c r="F60">
        <v>0</v>
      </c>
      <c r="G60">
        <v>350</v>
      </c>
    </row>
    <row r="61" spans="1:7" x14ac:dyDescent="0.25">
      <c r="A61" t="s">
        <v>104</v>
      </c>
      <c r="B61" t="s">
        <v>47</v>
      </c>
      <c r="C61">
        <v>3</v>
      </c>
      <c r="D61">
        <v>300</v>
      </c>
      <c r="E61" s="3">
        <v>45985</v>
      </c>
      <c r="F61">
        <v>0</v>
      </c>
      <c r="G61">
        <v>350</v>
      </c>
    </row>
    <row r="62" spans="1:7" x14ac:dyDescent="0.25">
      <c r="A62" t="s">
        <v>105</v>
      </c>
      <c r="B62" t="s">
        <v>1</v>
      </c>
      <c r="C62">
        <v>3</v>
      </c>
      <c r="D62">
        <v>300</v>
      </c>
      <c r="E62" s="3">
        <v>45985</v>
      </c>
      <c r="F62">
        <v>0</v>
      </c>
      <c r="G62">
        <v>350</v>
      </c>
    </row>
    <row r="63" spans="1:7" x14ac:dyDescent="0.25">
      <c r="A63" t="s">
        <v>106</v>
      </c>
      <c r="B63" t="s">
        <v>2</v>
      </c>
      <c r="C63">
        <v>3</v>
      </c>
      <c r="D63">
        <v>300</v>
      </c>
      <c r="E63" s="3">
        <v>45985</v>
      </c>
      <c r="F63">
        <v>0</v>
      </c>
      <c r="G63">
        <v>350</v>
      </c>
    </row>
    <row r="64" spans="1:7" x14ac:dyDescent="0.25">
      <c r="A64" t="s">
        <v>107</v>
      </c>
      <c r="B64" t="s">
        <v>18</v>
      </c>
      <c r="C64">
        <v>3</v>
      </c>
      <c r="D64">
        <v>300</v>
      </c>
      <c r="E64" s="3">
        <v>45985</v>
      </c>
      <c r="F64">
        <v>0</v>
      </c>
      <c r="G64">
        <v>350</v>
      </c>
    </row>
    <row r="65" spans="1:7" x14ac:dyDescent="0.25">
      <c r="A65" t="s">
        <v>108</v>
      </c>
      <c r="B65" t="s">
        <v>30</v>
      </c>
      <c r="C65">
        <v>3</v>
      </c>
      <c r="D65">
        <v>300</v>
      </c>
      <c r="E65" s="3">
        <v>45985</v>
      </c>
      <c r="F65">
        <v>0</v>
      </c>
      <c r="G65">
        <v>350</v>
      </c>
    </row>
    <row r="66" spans="1:7" x14ac:dyDescent="0.25">
      <c r="A66" t="s">
        <v>109</v>
      </c>
      <c r="B66" t="s">
        <v>42</v>
      </c>
      <c r="C66">
        <v>3</v>
      </c>
      <c r="D66">
        <v>300</v>
      </c>
      <c r="E66" s="3">
        <v>45985</v>
      </c>
      <c r="F66">
        <v>0</v>
      </c>
      <c r="G66">
        <v>350</v>
      </c>
    </row>
    <row r="67" spans="1:7" x14ac:dyDescent="0.25">
      <c r="A67" t="s">
        <v>110</v>
      </c>
      <c r="B67" t="s">
        <v>43</v>
      </c>
      <c r="C67">
        <v>3</v>
      </c>
      <c r="D67">
        <v>300</v>
      </c>
      <c r="E67" s="3">
        <v>45985</v>
      </c>
      <c r="F67">
        <v>0</v>
      </c>
      <c r="G67">
        <v>350</v>
      </c>
    </row>
    <row r="68" spans="1:7" x14ac:dyDescent="0.25">
      <c r="A68" t="s">
        <v>111</v>
      </c>
      <c r="B68" t="s">
        <v>44</v>
      </c>
      <c r="C68">
        <v>3</v>
      </c>
      <c r="D68">
        <v>300</v>
      </c>
      <c r="E68" s="3">
        <v>45985</v>
      </c>
      <c r="F68">
        <v>0</v>
      </c>
      <c r="G68">
        <v>350</v>
      </c>
    </row>
    <row r="69" spans="1:7" x14ac:dyDescent="0.25">
      <c r="A69" t="s">
        <v>112</v>
      </c>
      <c r="B69" t="s">
        <v>45</v>
      </c>
      <c r="C69">
        <v>3</v>
      </c>
      <c r="D69">
        <v>300</v>
      </c>
      <c r="E69" s="3">
        <v>45985</v>
      </c>
      <c r="F69">
        <v>0</v>
      </c>
      <c r="G69">
        <v>350</v>
      </c>
    </row>
    <row r="70" spans="1:7" x14ac:dyDescent="0.25">
      <c r="A70" t="s">
        <v>113</v>
      </c>
      <c r="B70" t="s">
        <v>46</v>
      </c>
      <c r="C70">
        <v>3</v>
      </c>
      <c r="D70">
        <v>300</v>
      </c>
      <c r="E70" s="3">
        <v>45985</v>
      </c>
      <c r="F70">
        <v>0</v>
      </c>
      <c r="G70">
        <v>350</v>
      </c>
    </row>
    <row r="71" spans="1:7" x14ac:dyDescent="0.25">
      <c r="A71" t="s">
        <v>114</v>
      </c>
      <c r="B71" t="s">
        <v>47</v>
      </c>
      <c r="C71">
        <v>3</v>
      </c>
      <c r="D71">
        <v>300</v>
      </c>
      <c r="E71" s="3">
        <v>45985</v>
      </c>
      <c r="F71">
        <v>0</v>
      </c>
      <c r="G71">
        <v>350</v>
      </c>
    </row>
    <row r="72" spans="1:7" x14ac:dyDescent="0.25">
      <c r="A72" t="s">
        <v>115</v>
      </c>
      <c r="B72" t="s">
        <v>1</v>
      </c>
      <c r="C72">
        <v>3</v>
      </c>
      <c r="D72">
        <v>300</v>
      </c>
      <c r="E72" s="3">
        <v>45985</v>
      </c>
      <c r="F72">
        <v>0</v>
      </c>
      <c r="G72">
        <v>350</v>
      </c>
    </row>
    <row r="73" spans="1:7" x14ac:dyDescent="0.25">
      <c r="A73" t="s">
        <v>116</v>
      </c>
      <c r="B73" t="s">
        <v>2</v>
      </c>
      <c r="C73">
        <v>3</v>
      </c>
      <c r="D73">
        <v>300</v>
      </c>
      <c r="E73" s="3">
        <v>45985</v>
      </c>
      <c r="F73">
        <v>0</v>
      </c>
      <c r="G73">
        <v>350</v>
      </c>
    </row>
    <row r="74" spans="1:7" x14ac:dyDescent="0.25">
      <c r="A74" t="s">
        <v>117</v>
      </c>
      <c r="B74" t="s">
        <v>18</v>
      </c>
      <c r="C74">
        <v>3</v>
      </c>
      <c r="D74">
        <v>300</v>
      </c>
      <c r="E74" s="3">
        <v>45985</v>
      </c>
      <c r="F74">
        <v>0</v>
      </c>
      <c r="G74">
        <v>350</v>
      </c>
    </row>
    <row r="75" spans="1:7" x14ac:dyDescent="0.25">
      <c r="A75" t="s">
        <v>118</v>
      </c>
      <c r="B75" t="s">
        <v>30</v>
      </c>
      <c r="C75">
        <v>3</v>
      </c>
      <c r="D75">
        <v>300</v>
      </c>
      <c r="E75" s="3">
        <v>45985</v>
      </c>
      <c r="F75">
        <v>0</v>
      </c>
      <c r="G75">
        <v>350</v>
      </c>
    </row>
    <row r="76" spans="1:7" x14ac:dyDescent="0.25">
      <c r="A76" t="s">
        <v>119</v>
      </c>
      <c r="B76" t="s">
        <v>42</v>
      </c>
      <c r="C76">
        <v>3</v>
      </c>
      <c r="D76">
        <v>300</v>
      </c>
      <c r="E76" s="3">
        <v>45985</v>
      </c>
      <c r="F76">
        <v>0</v>
      </c>
      <c r="G76">
        <v>350</v>
      </c>
    </row>
    <row r="77" spans="1:7" x14ac:dyDescent="0.25">
      <c r="A77" t="s">
        <v>120</v>
      </c>
      <c r="B77" t="s">
        <v>43</v>
      </c>
      <c r="C77">
        <v>3</v>
      </c>
      <c r="D77">
        <v>300</v>
      </c>
      <c r="E77" s="3">
        <v>45985</v>
      </c>
      <c r="F77">
        <v>0</v>
      </c>
      <c r="G77">
        <v>350</v>
      </c>
    </row>
    <row r="78" spans="1:7" x14ac:dyDescent="0.25">
      <c r="A78" t="s">
        <v>121</v>
      </c>
      <c r="B78" t="s">
        <v>44</v>
      </c>
      <c r="C78">
        <v>3</v>
      </c>
      <c r="D78">
        <v>300</v>
      </c>
      <c r="E78" s="3">
        <v>45985</v>
      </c>
      <c r="F78">
        <v>0</v>
      </c>
      <c r="G78">
        <v>350</v>
      </c>
    </row>
    <row r="79" spans="1:7" x14ac:dyDescent="0.25">
      <c r="A79" t="s">
        <v>122</v>
      </c>
      <c r="B79" t="s">
        <v>45</v>
      </c>
      <c r="C79">
        <v>3</v>
      </c>
      <c r="D79">
        <v>300</v>
      </c>
      <c r="E79" s="3">
        <v>45985</v>
      </c>
      <c r="F79">
        <v>0</v>
      </c>
      <c r="G79">
        <v>350</v>
      </c>
    </row>
    <row r="80" spans="1:7" x14ac:dyDescent="0.25">
      <c r="A80" t="s">
        <v>123</v>
      </c>
      <c r="B80" t="s">
        <v>46</v>
      </c>
      <c r="C80">
        <v>3</v>
      </c>
      <c r="D80">
        <v>300</v>
      </c>
      <c r="E80" s="3">
        <v>45985</v>
      </c>
      <c r="F80">
        <v>0</v>
      </c>
      <c r="G80">
        <v>350</v>
      </c>
    </row>
    <row r="81" spans="1:7" x14ac:dyDescent="0.25">
      <c r="A81" t="s">
        <v>124</v>
      </c>
      <c r="B81" t="s">
        <v>47</v>
      </c>
      <c r="C81">
        <v>3</v>
      </c>
      <c r="D81">
        <v>300</v>
      </c>
      <c r="E81" s="3">
        <v>45985</v>
      </c>
      <c r="F81">
        <v>0</v>
      </c>
      <c r="G81">
        <v>350</v>
      </c>
    </row>
    <row r="82" spans="1:7" x14ac:dyDescent="0.25">
      <c r="A82" t="s">
        <v>125</v>
      </c>
      <c r="B82" t="s">
        <v>1</v>
      </c>
      <c r="C82">
        <v>1</v>
      </c>
      <c r="D82">
        <v>100</v>
      </c>
      <c r="E82" s="3">
        <v>45988</v>
      </c>
      <c r="F82">
        <v>0</v>
      </c>
      <c r="G82">
        <v>350</v>
      </c>
    </row>
    <row r="83" spans="1:7" x14ac:dyDescent="0.25">
      <c r="A83" t="s">
        <v>126</v>
      </c>
      <c r="B83" t="s">
        <v>2</v>
      </c>
      <c r="C83">
        <v>1</v>
      </c>
      <c r="D83">
        <v>100</v>
      </c>
      <c r="E83" s="3">
        <v>45988</v>
      </c>
      <c r="F83">
        <v>0</v>
      </c>
      <c r="G83">
        <v>350</v>
      </c>
    </row>
    <row r="84" spans="1:7" x14ac:dyDescent="0.25">
      <c r="A84" t="s">
        <v>127</v>
      </c>
      <c r="B84" t="s">
        <v>18</v>
      </c>
      <c r="C84">
        <v>1</v>
      </c>
      <c r="D84">
        <v>100</v>
      </c>
      <c r="E84" s="3">
        <v>45988</v>
      </c>
      <c r="F84">
        <v>0</v>
      </c>
      <c r="G84">
        <v>350</v>
      </c>
    </row>
    <row r="85" spans="1:7" x14ac:dyDescent="0.25">
      <c r="A85" t="s">
        <v>128</v>
      </c>
      <c r="B85" t="s">
        <v>30</v>
      </c>
      <c r="C85">
        <v>1</v>
      </c>
      <c r="D85">
        <v>100</v>
      </c>
      <c r="E85" s="3">
        <v>45988</v>
      </c>
      <c r="F85">
        <v>0</v>
      </c>
      <c r="G85">
        <v>350</v>
      </c>
    </row>
    <row r="86" spans="1:7" x14ac:dyDescent="0.25">
      <c r="A86" t="s">
        <v>129</v>
      </c>
      <c r="B86" t="s">
        <v>42</v>
      </c>
      <c r="C86">
        <v>1</v>
      </c>
      <c r="D86">
        <v>100</v>
      </c>
      <c r="E86" s="3">
        <v>45988</v>
      </c>
      <c r="F86">
        <v>0</v>
      </c>
      <c r="G86">
        <v>350</v>
      </c>
    </row>
    <row r="87" spans="1:7" x14ac:dyDescent="0.25">
      <c r="A87" t="s">
        <v>130</v>
      </c>
      <c r="B87" t="s">
        <v>43</v>
      </c>
      <c r="C87">
        <v>1</v>
      </c>
      <c r="D87">
        <v>100</v>
      </c>
      <c r="E87" s="3">
        <v>45988</v>
      </c>
      <c r="F87">
        <v>0</v>
      </c>
      <c r="G87">
        <v>350</v>
      </c>
    </row>
    <row r="88" spans="1:7" x14ac:dyDescent="0.25">
      <c r="A88" t="s">
        <v>131</v>
      </c>
      <c r="B88" t="s">
        <v>44</v>
      </c>
      <c r="C88">
        <v>1</v>
      </c>
      <c r="D88">
        <v>100</v>
      </c>
      <c r="E88" s="3">
        <v>45988</v>
      </c>
      <c r="F88">
        <v>0</v>
      </c>
      <c r="G88">
        <v>350</v>
      </c>
    </row>
    <row r="89" spans="1:7" x14ac:dyDescent="0.25">
      <c r="A89" t="s">
        <v>132</v>
      </c>
      <c r="B89" t="s">
        <v>45</v>
      </c>
      <c r="C89">
        <v>1</v>
      </c>
      <c r="D89">
        <v>100</v>
      </c>
      <c r="E89" s="3">
        <v>45988</v>
      </c>
      <c r="F89">
        <v>0</v>
      </c>
      <c r="G89">
        <v>350</v>
      </c>
    </row>
    <row r="90" spans="1:7" x14ac:dyDescent="0.25">
      <c r="A90" t="s">
        <v>133</v>
      </c>
      <c r="B90" t="s">
        <v>46</v>
      </c>
      <c r="C90">
        <v>1</v>
      </c>
      <c r="D90">
        <v>100</v>
      </c>
      <c r="E90" s="3">
        <v>45988</v>
      </c>
      <c r="F90">
        <v>0</v>
      </c>
      <c r="G90">
        <v>350</v>
      </c>
    </row>
    <row r="91" spans="1:7" x14ac:dyDescent="0.25">
      <c r="A91" t="s">
        <v>134</v>
      </c>
      <c r="B91" t="s">
        <v>47</v>
      </c>
      <c r="C91">
        <v>1</v>
      </c>
      <c r="D91">
        <v>100</v>
      </c>
      <c r="E91" s="3">
        <v>45988</v>
      </c>
      <c r="F91">
        <v>0</v>
      </c>
      <c r="G91">
        <v>350</v>
      </c>
    </row>
    <row r="92" spans="1:7" x14ac:dyDescent="0.25">
      <c r="A92" t="s">
        <v>135</v>
      </c>
      <c r="B92" t="s">
        <v>1</v>
      </c>
      <c r="C92">
        <v>1</v>
      </c>
      <c r="D92">
        <v>100</v>
      </c>
      <c r="E92" s="3">
        <v>45988</v>
      </c>
      <c r="F92">
        <v>0</v>
      </c>
      <c r="G92">
        <v>350</v>
      </c>
    </row>
    <row r="93" spans="1:7" x14ac:dyDescent="0.25">
      <c r="A93" t="s">
        <v>136</v>
      </c>
      <c r="B93" t="s">
        <v>2</v>
      </c>
      <c r="C93">
        <v>1</v>
      </c>
      <c r="D93">
        <v>100</v>
      </c>
      <c r="E93" s="3">
        <v>45988</v>
      </c>
      <c r="F93">
        <v>0</v>
      </c>
      <c r="G93">
        <v>350</v>
      </c>
    </row>
    <row r="94" spans="1:7" x14ac:dyDescent="0.25">
      <c r="A94" t="s">
        <v>137</v>
      </c>
      <c r="B94" t="s">
        <v>18</v>
      </c>
      <c r="C94">
        <v>1</v>
      </c>
      <c r="D94">
        <v>100</v>
      </c>
      <c r="E94" s="3">
        <v>45988</v>
      </c>
      <c r="F94">
        <v>0</v>
      </c>
      <c r="G94">
        <v>350</v>
      </c>
    </row>
    <row r="95" spans="1:7" x14ac:dyDescent="0.25">
      <c r="A95" t="s">
        <v>138</v>
      </c>
      <c r="B95" t="s">
        <v>30</v>
      </c>
      <c r="C95">
        <v>1</v>
      </c>
      <c r="D95">
        <v>100</v>
      </c>
      <c r="E95" s="3">
        <v>45988</v>
      </c>
      <c r="F95">
        <v>0</v>
      </c>
      <c r="G95">
        <v>350</v>
      </c>
    </row>
    <row r="96" spans="1:7" x14ac:dyDescent="0.25">
      <c r="A96" t="s">
        <v>139</v>
      </c>
      <c r="B96" t="s">
        <v>42</v>
      </c>
      <c r="C96">
        <v>1</v>
      </c>
      <c r="D96">
        <v>100</v>
      </c>
      <c r="E96" s="3">
        <v>45988</v>
      </c>
      <c r="F96">
        <v>0</v>
      </c>
      <c r="G96">
        <v>350</v>
      </c>
    </row>
    <row r="97" spans="1:7" x14ac:dyDescent="0.25">
      <c r="A97" t="s">
        <v>140</v>
      </c>
      <c r="B97" t="s">
        <v>43</v>
      </c>
      <c r="C97">
        <v>1</v>
      </c>
      <c r="D97">
        <v>100</v>
      </c>
      <c r="E97" s="3">
        <v>45988</v>
      </c>
      <c r="F97">
        <v>0</v>
      </c>
      <c r="G97">
        <v>350</v>
      </c>
    </row>
    <row r="98" spans="1:7" x14ac:dyDescent="0.25">
      <c r="A98" t="s">
        <v>141</v>
      </c>
      <c r="B98" t="s">
        <v>44</v>
      </c>
      <c r="C98">
        <v>1</v>
      </c>
      <c r="D98">
        <v>100</v>
      </c>
      <c r="E98" s="3">
        <v>45988</v>
      </c>
      <c r="F98">
        <v>0</v>
      </c>
      <c r="G98">
        <v>350</v>
      </c>
    </row>
    <row r="99" spans="1:7" x14ac:dyDescent="0.25">
      <c r="A99" t="s">
        <v>142</v>
      </c>
      <c r="B99" t="s">
        <v>45</v>
      </c>
      <c r="C99">
        <v>1</v>
      </c>
      <c r="D99">
        <v>100</v>
      </c>
      <c r="E99" s="3">
        <v>45988</v>
      </c>
      <c r="F99">
        <v>0</v>
      </c>
      <c r="G99">
        <v>350</v>
      </c>
    </row>
    <row r="100" spans="1:7" x14ac:dyDescent="0.25">
      <c r="A100" t="s">
        <v>143</v>
      </c>
      <c r="B100" t="s">
        <v>46</v>
      </c>
      <c r="C100">
        <v>1</v>
      </c>
      <c r="D100">
        <v>100</v>
      </c>
      <c r="E100" s="3">
        <v>45988</v>
      </c>
      <c r="F100">
        <v>0</v>
      </c>
      <c r="G100">
        <v>350</v>
      </c>
    </row>
    <row r="101" spans="1:7" x14ac:dyDescent="0.25">
      <c r="A101" t="s">
        <v>144</v>
      </c>
      <c r="B101" t="s">
        <v>47</v>
      </c>
      <c r="C101">
        <v>1</v>
      </c>
      <c r="D101">
        <v>100</v>
      </c>
      <c r="E101" s="3">
        <v>45988</v>
      </c>
      <c r="F101">
        <v>0</v>
      </c>
      <c r="G101">
        <v>350</v>
      </c>
    </row>
    <row r="102" spans="1:7" x14ac:dyDescent="0.25">
      <c r="E102" s="3"/>
    </row>
    <row r="103" spans="1:7" x14ac:dyDescent="0.25">
      <c r="E103" s="3"/>
    </row>
    <row r="104" spans="1:7" x14ac:dyDescent="0.25">
      <c r="E104" s="3"/>
    </row>
    <row r="105" spans="1:7" x14ac:dyDescent="0.25">
      <c r="E105" s="3"/>
    </row>
    <row r="106" spans="1:7" x14ac:dyDescent="0.25">
      <c r="E106" s="3"/>
    </row>
    <row r="107" spans="1:7" x14ac:dyDescent="0.25">
      <c r="E107" s="3"/>
    </row>
    <row r="108" spans="1:7" x14ac:dyDescent="0.25">
      <c r="E108" s="3"/>
    </row>
    <row r="109" spans="1:7" x14ac:dyDescent="0.25">
      <c r="E109" s="3"/>
    </row>
    <row r="110" spans="1:7" x14ac:dyDescent="0.25">
      <c r="E110" s="3"/>
    </row>
    <row r="111" spans="1:7" x14ac:dyDescent="0.25">
      <c r="E111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4518-591E-4B7D-BC39-F64EF45239F3}">
  <dimension ref="A1:B11"/>
  <sheetViews>
    <sheetView workbookViewId="0">
      <selection activeCell="B12" sqref="B12"/>
    </sheetView>
  </sheetViews>
  <sheetFormatPr baseColWidth="10" defaultRowHeight="15" x14ac:dyDescent="0.25"/>
  <cols>
    <col min="1" max="1" width="11.85546875" customWidth="1"/>
    <col min="2" max="2" width="13.4257812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</v>
      </c>
      <c r="B2" s="2">
        <v>20</v>
      </c>
    </row>
    <row r="3" spans="1:2" x14ac:dyDescent="0.25">
      <c r="A3" t="s">
        <v>2</v>
      </c>
      <c r="B3" s="2">
        <v>10</v>
      </c>
    </row>
    <row r="4" spans="1:2" x14ac:dyDescent="0.25">
      <c r="A4" t="s">
        <v>18</v>
      </c>
      <c r="B4" s="2">
        <v>5</v>
      </c>
    </row>
    <row r="5" spans="1:2" x14ac:dyDescent="0.25">
      <c r="A5" t="s">
        <v>30</v>
      </c>
      <c r="B5" s="2">
        <v>30</v>
      </c>
    </row>
    <row r="6" spans="1:2" x14ac:dyDescent="0.25">
      <c r="A6" t="s">
        <v>42</v>
      </c>
      <c r="B6" s="2">
        <v>40</v>
      </c>
    </row>
    <row r="7" spans="1:2" x14ac:dyDescent="0.25">
      <c r="A7" t="s">
        <v>43</v>
      </c>
      <c r="B7" s="2">
        <v>15</v>
      </c>
    </row>
    <row r="8" spans="1:2" x14ac:dyDescent="0.25">
      <c r="A8" t="s">
        <v>44</v>
      </c>
      <c r="B8" s="2">
        <v>50</v>
      </c>
    </row>
    <row r="9" spans="1:2" x14ac:dyDescent="0.25">
      <c r="A9" t="s">
        <v>45</v>
      </c>
      <c r="B9" s="2">
        <v>70</v>
      </c>
    </row>
    <row r="10" spans="1:2" x14ac:dyDescent="0.25">
      <c r="A10" t="s">
        <v>46</v>
      </c>
      <c r="B10" s="2">
        <v>25</v>
      </c>
    </row>
    <row r="11" spans="1:2" x14ac:dyDescent="0.25">
      <c r="A11" t="s">
        <v>47</v>
      </c>
      <c r="B11" s="2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16.5703125" customWidth="1"/>
    <col min="2" max="2" width="15.42578125" customWidth="1"/>
    <col min="3" max="3" width="16.28515625" customWidth="1"/>
    <col min="4" max="4" width="19.42578125" customWidth="1"/>
    <col min="5" max="5" width="18.28515625" customWidth="1"/>
    <col min="6" max="6" width="15.42578125" customWidth="1"/>
    <col min="7" max="7" width="11.85546875" customWidth="1"/>
    <col min="8" max="8" width="14.8554687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36</v>
      </c>
    </row>
    <row r="2" spans="1:7" x14ac:dyDescent="0.25">
      <c r="A2" t="s">
        <v>10</v>
      </c>
      <c r="B2">
        <v>12</v>
      </c>
      <c r="C2">
        <v>1500</v>
      </c>
      <c r="D2">
        <v>5</v>
      </c>
      <c r="E2">
        <v>0</v>
      </c>
      <c r="F2">
        <v>400</v>
      </c>
      <c r="G2" t="s">
        <v>37</v>
      </c>
    </row>
    <row r="3" spans="1:7" x14ac:dyDescent="0.25">
      <c r="A3" t="s">
        <v>11</v>
      </c>
      <c r="B3">
        <v>18</v>
      </c>
      <c r="C3">
        <v>2500</v>
      </c>
      <c r="D3">
        <v>8</v>
      </c>
      <c r="E3">
        <v>0</v>
      </c>
      <c r="F3">
        <v>550</v>
      </c>
      <c r="G3" t="s">
        <v>38</v>
      </c>
    </row>
    <row r="4" spans="1:7" x14ac:dyDescent="0.25">
      <c r="A4" t="s">
        <v>33</v>
      </c>
      <c r="B4">
        <v>15</v>
      </c>
      <c r="C4">
        <v>2000</v>
      </c>
      <c r="D4">
        <v>6</v>
      </c>
      <c r="E4">
        <v>5</v>
      </c>
      <c r="F4">
        <v>600</v>
      </c>
      <c r="G4" t="s">
        <v>39</v>
      </c>
    </row>
    <row r="5" spans="1:7" x14ac:dyDescent="0.25">
      <c r="A5" t="s">
        <v>34</v>
      </c>
      <c r="B5">
        <v>25</v>
      </c>
      <c r="C5">
        <v>3500</v>
      </c>
      <c r="D5">
        <v>10</v>
      </c>
      <c r="E5">
        <v>0</v>
      </c>
      <c r="F5">
        <v>700</v>
      </c>
      <c r="G5" t="s">
        <v>40</v>
      </c>
    </row>
    <row r="6" spans="1:7" x14ac:dyDescent="0.25">
      <c r="A6" t="s">
        <v>35</v>
      </c>
      <c r="B6">
        <v>10</v>
      </c>
      <c r="C6">
        <v>1000</v>
      </c>
      <c r="D6">
        <v>4</v>
      </c>
      <c r="E6">
        <v>0</v>
      </c>
      <c r="F6">
        <v>350</v>
      </c>
      <c r="G6" t="s">
        <v>41</v>
      </c>
    </row>
    <row r="7" spans="1:7" x14ac:dyDescent="0.25">
      <c r="A7" t="s">
        <v>145</v>
      </c>
      <c r="B7">
        <v>15</v>
      </c>
      <c r="C7">
        <v>2000</v>
      </c>
      <c r="D7">
        <v>6</v>
      </c>
      <c r="E7">
        <v>0</v>
      </c>
      <c r="F7">
        <v>800</v>
      </c>
      <c r="G7" t="s">
        <v>150</v>
      </c>
    </row>
    <row r="8" spans="1:7" x14ac:dyDescent="0.25">
      <c r="A8" t="s">
        <v>146</v>
      </c>
      <c r="B8">
        <v>30</v>
      </c>
      <c r="C8">
        <v>4000</v>
      </c>
      <c r="D8">
        <v>8</v>
      </c>
      <c r="E8">
        <v>0</v>
      </c>
      <c r="F8">
        <v>1000</v>
      </c>
      <c r="G8" t="s">
        <v>151</v>
      </c>
    </row>
    <row r="9" spans="1:7" x14ac:dyDescent="0.25">
      <c r="A9" t="s">
        <v>147</v>
      </c>
      <c r="B9">
        <v>8</v>
      </c>
      <c r="C9">
        <v>800</v>
      </c>
      <c r="D9">
        <v>3</v>
      </c>
      <c r="E9">
        <v>3</v>
      </c>
      <c r="F9">
        <v>750</v>
      </c>
      <c r="G9" t="s">
        <v>152</v>
      </c>
    </row>
    <row r="10" spans="1:7" x14ac:dyDescent="0.25">
      <c r="A10" t="s">
        <v>148</v>
      </c>
      <c r="B10">
        <v>18</v>
      </c>
      <c r="C10">
        <v>2500</v>
      </c>
      <c r="D10">
        <v>9</v>
      </c>
      <c r="E10">
        <v>0</v>
      </c>
      <c r="F10">
        <v>650</v>
      </c>
      <c r="G10" t="s">
        <v>153</v>
      </c>
    </row>
    <row r="11" spans="1:7" x14ac:dyDescent="0.25">
      <c r="A11" t="s">
        <v>149</v>
      </c>
      <c r="B11">
        <v>10</v>
      </c>
      <c r="C11">
        <v>1000</v>
      </c>
      <c r="D11">
        <v>5</v>
      </c>
      <c r="E11">
        <v>0</v>
      </c>
      <c r="F11">
        <v>500</v>
      </c>
      <c r="G11" t="s">
        <v>154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520F-3090-4F96-A1CD-16D41825898F}">
  <dimension ref="A1:O103"/>
  <sheetViews>
    <sheetView topLeftCell="A57" workbookViewId="0">
      <selection activeCell="E71" sqref="E71"/>
    </sheetView>
  </sheetViews>
  <sheetFormatPr baseColWidth="10" defaultRowHeight="15" x14ac:dyDescent="0.25"/>
  <cols>
    <col min="1" max="1" width="11.85546875" bestFit="1" customWidth="1"/>
    <col min="15" max="15" width="40" customWidth="1"/>
  </cols>
  <sheetData>
    <row r="1" spans="1:13" x14ac:dyDescent="0.25">
      <c r="A1" t="str" cm="1">
        <f t="array" ref="A1:B101">Pedidos!A1:B101</f>
        <v>ID</v>
      </c>
      <c r="B1" t="str">
        <v>Cliente</v>
      </c>
      <c r="C1" t="s">
        <v>15</v>
      </c>
      <c r="D1" t="s">
        <v>16</v>
      </c>
      <c r="E1" t="s">
        <v>82</v>
      </c>
      <c r="F1" t="s">
        <v>83</v>
      </c>
      <c r="G1" t="s">
        <v>84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17</v>
      </c>
    </row>
    <row r="2" spans="1:13" x14ac:dyDescent="0.25">
      <c r="A2" t="str">
        <v>P1</v>
      </c>
      <c r="B2" t="str">
        <v>C1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 x14ac:dyDescent="0.25">
      <c r="A3" t="str">
        <v>P2</v>
      </c>
      <c r="B3" t="str">
        <v>C2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tr">
        <v>P3</v>
      </c>
      <c r="B4" t="str">
        <v>C3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tr">
        <v>P4</v>
      </c>
      <c r="B5" t="str">
        <v>C4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tr">
        <v>P5</v>
      </c>
      <c r="B6" t="str">
        <v>C5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tr">
        <v>P6</v>
      </c>
      <c r="B7" t="str">
        <v>C6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tr">
        <v>P7</v>
      </c>
      <c r="B8" t="str">
        <v>C7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tr">
        <v>P8</v>
      </c>
      <c r="B9" t="str">
        <v>C8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</row>
    <row r="10" spans="1:13" x14ac:dyDescent="0.25">
      <c r="A10" t="str">
        <v>P9</v>
      </c>
      <c r="B10" t="str">
        <v>C9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25">
      <c r="A11" t="str">
        <v>P10</v>
      </c>
      <c r="B11" t="str">
        <v>C10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tr">
        <v>P11</v>
      </c>
      <c r="B12" t="str">
        <v>C1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25">
      <c r="A13" t="str">
        <v>P12</v>
      </c>
      <c r="B13" t="str">
        <v>C2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tr">
        <v>P13</v>
      </c>
      <c r="B14" t="str">
        <v>C3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tr">
        <v>P14</v>
      </c>
      <c r="B15" t="str">
        <v>C4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tr">
        <v>P15</v>
      </c>
      <c r="B16" t="str">
        <v>C5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tr">
        <v>P16</v>
      </c>
      <c r="B17" t="str">
        <v>C6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25">
      <c r="A18" t="str">
        <v>P17</v>
      </c>
      <c r="B18" t="str">
        <v>C7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tr">
        <v>P18</v>
      </c>
      <c r="B19" t="str">
        <v>C8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</row>
    <row r="20" spans="1:13" x14ac:dyDescent="0.25">
      <c r="A20" t="str">
        <v>P19</v>
      </c>
      <c r="B20" t="str">
        <v>C9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 x14ac:dyDescent="0.25">
      <c r="A21" t="str">
        <v>P20</v>
      </c>
      <c r="B21" t="str">
        <v>C10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tr">
        <v>P21</v>
      </c>
      <c r="B22" t="str">
        <v>C1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 x14ac:dyDescent="0.25">
      <c r="A23" t="str">
        <v>P22</v>
      </c>
      <c r="B23" t="str">
        <v>C2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tr">
        <v>P23</v>
      </c>
      <c r="B24" t="str">
        <v>C3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tr">
        <v>P24</v>
      </c>
      <c r="B25" t="str">
        <v>C4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tr">
        <v>P25</v>
      </c>
      <c r="B26" t="str">
        <v>C5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tr">
        <v>P26</v>
      </c>
      <c r="B27" t="str">
        <v>C6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 x14ac:dyDescent="0.25">
      <c r="A28" t="str">
        <v>P27</v>
      </c>
      <c r="B28" t="str">
        <v>C7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tr">
        <v>P28</v>
      </c>
      <c r="B29" t="str">
        <v>C8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 x14ac:dyDescent="0.25">
      <c r="A30" t="str">
        <v>P29</v>
      </c>
      <c r="B30" t="str">
        <v>C9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 x14ac:dyDescent="0.25">
      <c r="A31" t="str">
        <v>P30</v>
      </c>
      <c r="B31" t="str">
        <v>C10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 x14ac:dyDescent="0.25">
      <c r="A32" t="str">
        <v>P31</v>
      </c>
      <c r="B32" t="str">
        <v>C1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5" x14ac:dyDescent="0.25">
      <c r="A33" t="str">
        <v>P32</v>
      </c>
      <c r="B33" t="str">
        <v>C2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5" x14ac:dyDescent="0.25">
      <c r="A34" t="str">
        <v>P33</v>
      </c>
      <c r="B34" t="str">
        <v>C3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5" x14ac:dyDescent="0.25">
      <c r="A35" t="str">
        <v>P34</v>
      </c>
      <c r="B35" t="str">
        <v>C4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5" x14ac:dyDescent="0.25">
      <c r="A36" t="str">
        <v>P35</v>
      </c>
      <c r="B36" t="str">
        <v>C5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5" x14ac:dyDescent="0.25">
      <c r="A37" t="str">
        <v>P36</v>
      </c>
      <c r="B37" t="str">
        <v>C6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5" x14ac:dyDescent="0.25">
      <c r="A38" t="str">
        <v>P37</v>
      </c>
      <c r="B38" t="str">
        <v>C7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</row>
    <row r="39" spans="1:15" x14ac:dyDescent="0.25">
      <c r="A39" t="str">
        <v>P38</v>
      </c>
      <c r="B39" t="str">
        <v>C8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5" x14ac:dyDescent="0.25">
      <c r="A40" t="str">
        <v>P39</v>
      </c>
      <c r="B40" t="str">
        <v>C9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5" x14ac:dyDescent="0.25">
      <c r="A41" t="str">
        <v>P40</v>
      </c>
      <c r="B41" t="str">
        <v>C10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5" x14ac:dyDescent="0.25">
      <c r="A42" t="str">
        <v>P41</v>
      </c>
      <c r="B42" t="str">
        <v>C1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5" x14ac:dyDescent="0.25">
      <c r="A43" t="str">
        <v>P42</v>
      </c>
      <c r="B43" t="str">
        <v>C2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5" x14ac:dyDescent="0.25">
      <c r="A44" t="str">
        <v>P43</v>
      </c>
      <c r="B44" t="str">
        <v>C3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5" x14ac:dyDescent="0.25">
      <c r="A45" t="str">
        <v>P44</v>
      </c>
      <c r="B45" t="str">
        <v>C4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5" x14ac:dyDescent="0.25">
      <c r="A46" t="str">
        <v>P45</v>
      </c>
      <c r="B46" t="str">
        <v>C5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5" x14ac:dyDescent="0.25">
      <c r="A47" t="str">
        <v>P46</v>
      </c>
      <c r="B47" t="str">
        <v>C6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5" ht="21.75" customHeight="1" x14ac:dyDescent="0.25">
      <c r="A48" s="4" t="str">
        <v>P47</v>
      </c>
      <c r="B48" t="str">
        <v>C7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s="4"/>
    </row>
    <row r="49" spans="1:13" x14ac:dyDescent="0.25">
      <c r="A49" t="str">
        <v>P48</v>
      </c>
      <c r="B49" t="str">
        <v>C8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 x14ac:dyDescent="0.25">
      <c r="A50" t="str">
        <v>P49</v>
      </c>
      <c r="B50" t="str">
        <v>C9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x14ac:dyDescent="0.25">
      <c r="A51" t="str">
        <v>P50</v>
      </c>
      <c r="B51" t="str">
        <v>C10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</row>
    <row r="52" spans="1:13" x14ac:dyDescent="0.25">
      <c r="A52" t="str">
        <v>P51</v>
      </c>
      <c r="B52" t="str">
        <v>C1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tr">
        <v>P52</v>
      </c>
      <c r="B53" t="str">
        <v>C2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tr">
        <v>P53</v>
      </c>
      <c r="B54" t="str">
        <v>C3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tr">
        <v>P54</v>
      </c>
      <c r="B55" t="str">
        <v>C4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tr">
        <v>P55</v>
      </c>
      <c r="B56" t="str">
        <v>C5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tr">
        <v>P56</v>
      </c>
      <c r="B57" t="str">
        <v>C6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tr">
        <v>P57</v>
      </c>
      <c r="B58" t="str">
        <v>C7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tr">
        <v>P58</v>
      </c>
      <c r="B59" t="str">
        <v>C8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tr">
        <v>P59</v>
      </c>
      <c r="B60" t="str">
        <v>C9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tr">
        <v>P60</v>
      </c>
      <c r="B61" t="str">
        <v>C10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tr">
        <v>P61</v>
      </c>
      <c r="B62" t="str">
        <v>C1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tr">
        <v>P62</v>
      </c>
      <c r="B63" t="str">
        <v>C2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tr">
        <v>P63</v>
      </c>
      <c r="B64" t="str">
        <v>C3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tr">
        <v>P64</v>
      </c>
      <c r="B65" t="str">
        <v>C4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tr">
        <v>P65</v>
      </c>
      <c r="B66" t="str">
        <v>C5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tr">
        <v>P66</v>
      </c>
      <c r="B67" t="str">
        <v>C6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tr">
        <v>P67</v>
      </c>
      <c r="B68" t="str">
        <v>C7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tr">
        <v>P68</v>
      </c>
      <c r="B69" t="str">
        <v>C8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t="str">
        <v>P69</v>
      </c>
      <c r="B70" t="str">
        <v>C9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tr">
        <v>P70</v>
      </c>
      <c r="B71" t="str">
        <v>C10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tr">
        <v>P71</v>
      </c>
      <c r="B72" t="str">
        <v>C1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tr">
        <v>P72</v>
      </c>
      <c r="B73" t="str">
        <v>C2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tr">
        <v>P73</v>
      </c>
      <c r="B74" t="str">
        <v>C3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tr">
        <v>P74</v>
      </c>
      <c r="B75" t="str">
        <v>C4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tr">
        <v>P75</v>
      </c>
      <c r="B76" t="str">
        <v>C5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tr">
        <v>P76</v>
      </c>
      <c r="B77" t="str">
        <v>C6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tr">
        <v>P77</v>
      </c>
      <c r="B78" t="str">
        <v>C7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tr">
        <v>P78</v>
      </c>
      <c r="B79" t="str">
        <v>C8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tr">
        <v>P79</v>
      </c>
      <c r="B80" t="str">
        <v>C9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tr">
        <v>P80</v>
      </c>
      <c r="B81" t="str">
        <v>C10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tr">
        <v>P81</v>
      </c>
      <c r="B82" t="str">
        <v>C1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tr">
        <v>P82</v>
      </c>
      <c r="B83" t="str">
        <v>C2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tr">
        <v>P83</v>
      </c>
      <c r="B84" t="str">
        <v>C3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tr">
        <v>P84</v>
      </c>
      <c r="B85" t="str">
        <v>C4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tr">
        <v>P85</v>
      </c>
      <c r="B86" t="str">
        <v>C5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tr">
        <v>P86</v>
      </c>
      <c r="B87" t="str">
        <v>C6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tr">
        <v>P87</v>
      </c>
      <c r="B88" t="str">
        <v>C7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tr">
        <v>P88</v>
      </c>
      <c r="B89" t="str">
        <v>C8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tr">
        <v>P89</v>
      </c>
      <c r="B90" t="str">
        <v>C9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tr">
        <v>P90</v>
      </c>
      <c r="B91" t="str">
        <v>C10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tr">
        <v>P91</v>
      </c>
      <c r="B92" t="str">
        <v>C1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tr">
        <v>P92</v>
      </c>
      <c r="B93" t="str">
        <v>C2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tr">
        <v>P93</v>
      </c>
      <c r="B94" t="str">
        <v>C3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tr">
        <v>P94</v>
      </c>
      <c r="B95" t="str">
        <v>C4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tr">
        <v>P95</v>
      </c>
      <c r="B96" t="str">
        <v>C5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tr">
        <v>P96</v>
      </c>
      <c r="B97" t="str">
        <v>C6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tr">
        <v>P97</v>
      </c>
      <c r="B98" t="str">
        <v>C7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t="str">
        <v>P98</v>
      </c>
      <c r="B99" t="str">
        <v>C8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tr">
        <v>P99</v>
      </c>
      <c r="B100" t="str">
        <v>C9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tr">
        <v>P100</v>
      </c>
      <c r="B101" t="str">
        <v>C10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3" spans="1:13" x14ac:dyDescent="0.25"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oredFilesList xmlns:xsd="http://www.w3.org/2001/XMLSchema" xmlns:xsi="http://www.w3.org/2001/XMLSchema-instance" xmlns="http://opensolver.org" xml:space="preserve" Version="01.00">
  <StoredFiles>
    <StoredFile>
      <FileName>Untitled</FileName>
      <LanguageName>COOPR</LanguageName>
      <ModelPaneVisible>true</ModelPaneVisible>
      <ModelSettings>
        <item>
          <key>
            <string xmlns="">COOPRSolver</string>
          </key>
          <value>
            <anyType xmlns="" xsi:type="xsd:string">cbc</anyType>
          </value>
        </item>
      </ModelSettings>
      <FileText># ====================================================
#   MODELO DE ASIGNACIÓN DE PEDIDOS A CAMIONES
#   Pyomo + SolverStudio
# ====================================================
from pyomo.environ import *
# ----------------------------------------------------
# 1) DECLARAR MODELO ABSTRACTO
# ----------------------------------------------------
model = AbstractModel()
# ----------------------------------------------------
# 2) CONJUNTOS
# ----------------------------------------------------
model.I = Set()      # pedidos
model.J = Set()      # camiones
model.C = Set()      # clientes
# ----------------------------------------------------
# 3) PARÁMETROS
# ----------------------------------------------------
# --- parámetros de pedidos
model.vol   = Param(model.I)
model.pes   = Param(model.I)
model.fecha = Param(model.I, within=Reals)   # fecha del pedido (número o formato convertible)
model.adr   = Param(model.I)
model.t     = Param(model.I)   # coste mensajería
model.cli   = Param(model.I, within=model.C)   # cliente al que pertenece cada pedido
# --- parámetros de clientes
model.dist_c = Param(model.C, within=Reals)  # distancia del cliente
# --- parámetros de camiones
model.V     = Param(model.J)   # volumen
model.W     = Param(model.J)   # peso
model.ADRmax = Param(model.J)  # límite ADR
model.Pmax   = Param(model.J)  # paradas máximas
model.F      = Param(model.J, within=Reals)  # coste fijo
# --- parámetros globales
model.alpha = Param(within=Reals)          # factor €/km
model.s     = Param(within=Reals)          # coste almacenaje €/día
model.fecha_hoy = Param(within=Reals)      # fecha actual
# ----------------------------------------------------
# 4) PARÁMETROS DERIVADOS
# ----------------------------------------------------
# Distancia por pedido i (hereda del cliente)
def dist_i_rule(m, i):
    return m.dist_c[m.cli[i]]
model.dist = Param(model.I, initialize=dist_i_rule)
# Coste variable: u_i = alpha * dist
def u_rule(m, i):
    return m.alpha * m.dist[i]
model.u = Param(model.I, initialize=u_rule)
# Días adelantados: d_i = fecha_i - fecha_hoy
def d_rule(m, i):
    return m.fecha[i] - m.fecha_hoy
model.d = Param(model.I, initialize=d_rule)
# Fecha del envío más lejano
def dmax_rule(m):
    #return max(m.d[i] for i in m.I)
    return max(m.fecha[i] for i in m.I)
model.Dmax = Param(initialize=dmax_rule)
# C) Delta (Beneficio por Anticipación)
def delta_rule(m, i):
    if m.Dmax &gt; 0:
        # 1 - (Días restantes / Días totales del horizonte)
        #return 1.0 - (m.d[i] / m.Dmax)
        return (m.Dmax - m.d[i])/m.Dmax
        #return (m.Dmax - m.fecha[i])/(m.Dmax - m.fecha_hoy)
    else:
        # Si todos los pedidos son de hoy, el beneficio es max (1)
        return 1.0
model.delta = Param(model.I, initialize=delta_rule)
# ----------------------------------------------------
# 5) VARIABLES
# ----------------------------------------------------
model.x = Var(model.I, model.J, domain=Binary)   # pedido i va en camión j
model.y = Var(model.I, domain=Binary)            # pedido i va por mensajería
model.z = Var(model.J, domain=Binary)            # camión usado
# ----------------------------------------------------
# 6) FUNCIÓN OBJETIVO
# ----------------------------------------------------
def obj_rule(m):
    return (
        sum(m.u[i] * m.x[i, j] for i in m.I for j in m.J)        # coste variable camión
        + sum(m.t[i] * m.y[i] for i in m.I)                      # mensajería
        + sum(m.F[j] * m.z[j] for j in m.J)                      # coste fijo camión
        - sum(m.s * m.delta[i] * (sum(m.x[i, j] for j in m.J) + m.y[i]) 
              for i in m.I)                                      # almacenaje (adelanto)
    )
model.OBJ = Objective(rule=obj_rule, sense=minimize)
# ----------------------------------------------------
# 7) RESTRICCIONES
# ----------------------------------------------------
# A) Todos los pedidos del día se envían
def hoy_rule(m, i):
    if m.fecha[i] == m.fecha_hoy:
        return sum(m.x[i, j] for j in m.J) + m.y[i] == 1
    return Constraint.Skip
model.envio_hoy = Constraint(model.I, rule=hoy_rule)
# B) Pedidos futuros: envío opcional
def futuro_rule(m, i):
    if m.fecha[i] &gt; m.fecha_hoy:
        return sum(m.x[i, j] for j in m.J)&lt;= 1
    return Constraint.Skip
model.envio_fut = Constraint(model.I, rule=futuro_rule)
# Los envíos futuros NO se envían por mensajería
def futuro_mens_rule(m, i):
    if m.fecha[i] &gt; m.fecha_hoy:
        return m.y[i] == 0
    return Constraint.Skip
model.futuro_mens = Constraint(model.I, rule=futuro_mens_rule)
# C) Solo cargar camión si se usa
def linking_rule(m, i, j):
    return m.x[i, j] &lt;= m.z[j]
model.link = Constraint(model.I, model.J, rule=linking_rule)
# D) Capacidad volumen
def volumen_rule(m, j):
    return sum(m.vol[i] * m.x[i, j] for i in m.I) &lt;= m.V[j]
model.volumen = Constraint(model.J, rule=volumen_rule)
# E) Capacidad peso
def peso_rule(m, j):
    return sum(m.pes[i] * m.x[i, j] for i in m.I) &lt;= m.W[j]
model.peso = Constraint(model.J, rule=peso_rule)
# F) ADR máximo
def adr_rule(m, j):
    return sum(m.adr[i] * m.vol[i] * m.x[i, j] for i in m.I) &lt;= m.ADRmax[j]
model.adr_limit = Constraint(model.J, rule=adr_rule)
# G) Paradas máximas
def paradas_rule(m, j):
    return sum(m.x[i, j] for i in m.I) &lt;= m.Pmax[j]
model.paradas = Constraint(model.J, rule=paradas_rule)
</FileText>
      <ParentWorksheetName>Pedidos</ParentWorksheetName>
    </StoredFile>
    <StoredFile>
      <FileName>Untitled</FileName>
      <LanguageName>PuLP</LanguageName>
      <ModelPaneVisible>true</ModelPaneVisible>
      <ModelSettings/>
      <FileText/>
      <ParentWorksheetName>Camiones</ParentWorksheetName>
    </StoredFile>
    <StoredFile>
      <FileName>Untitled</FileName>
      <LanguageName>PuLP</LanguageName>
      <ModelPaneVisible>false</ModelPaneVisible>
      <ModelSettings/>
      <FileText/>
      <ParentWorksheetName>Clientes</ParentWorksheetName>
    </StoredFile>
    <StoredFile>
      <FileName>Untitled</FileName>
      <LanguageName>PuLP</LanguageName>
      <ModelPaneVisible>true</ModelPaneVisible>
      <ModelSettings/>
      <FileText/>
      <ParentWorksheetName>Resultados</ParentWorksheetName>
    </StoredFile>
  </StoredFiles>
</StoredFilesList>
</file>

<file path=customXml/itemProps1.xml><?xml version="1.0" encoding="utf-8"?>
<ds:datastoreItem xmlns:ds="http://schemas.openxmlformats.org/officeDocument/2006/customXml" ds:itemID="{EBFB0505-20F2-4A91-AD70-FE5C9315BB10}">
  <ds:schemaRefs>
    <ds:schemaRef ds:uri="http://www.w3.org/2001/XMLSchema"/>
    <ds:schemaRef ds:uri="http://opensolver.org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21</vt:i4>
      </vt:variant>
    </vt:vector>
  </HeadingPairs>
  <TitlesOfParts>
    <vt:vector size="25" baseType="lpstr">
      <vt:lpstr>Pedidos</vt:lpstr>
      <vt:lpstr>Clientes</vt:lpstr>
      <vt:lpstr>Camiones</vt:lpstr>
      <vt:lpstr>Resultados</vt:lpstr>
      <vt:lpstr>Pedidos!adr</vt:lpstr>
      <vt:lpstr>Pedidos!ADRmax</vt:lpstr>
      <vt:lpstr>Pedidos!alpha</vt:lpstr>
      <vt:lpstr>Pedidos!C.</vt:lpstr>
      <vt:lpstr>Pedidos!cli</vt:lpstr>
      <vt:lpstr>Pedidos!dist_c</vt:lpstr>
      <vt:lpstr>Pedidos!F.</vt:lpstr>
      <vt:lpstr>Pedidos!fecha</vt:lpstr>
      <vt:lpstr>Pedidos!fecha_hoy</vt:lpstr>
      <vt:lpstr>Pedidos!I</vt:lpstr>
      <vt:lpstr>Pedidos!J</vt:lpstr>
      <vt:lpstr>Pedidos!pes</vt:lpstr>
      <vt:lpstr>Pedidos!Pmax</vt:lpstr>
      <vt:lpstr>Pedidos!s</vt:lpstr>
      <vt:lpstr>Pedidos!t</vt:lpstr>
      <vt:lpstr>Pedidos!V</vt:lpstr>
      <vt:lpstr>Pedidos!vol</vt:lpstr>
      <vt:lpstr>Pedidos!W</vt:lpstr>
      <vt:lpstr>Pedidos!x</vt:lpstr>
      <vt:lpstr>Pedidos!y</vt:lpstr>
      <vt:lpstr>Pedidos!z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ALVAREZ ALVAREZ</cp:lastModifiedBy>
  <dcterms:created xsi:type="dcterms:W3CDTF">2025-11-15T12:33:46Z</dcterms:created>
  <dcterms:modified xsi:type="dcterms:W3CDTF">2026-01-09T19:12:40Z</dcterms:modified>
</cp:coreProperties>
</file>